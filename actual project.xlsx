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hib\OneDrive\Desktop\Job Files\projects\Ev , Luxury or necessity\"/>
    </mc:Choice>
  </mc:AlternateContent>
  <xr:revisionPtr revIDLastSave="0" documentId="13_ncr:1_{346488EA-E9F9-47D0-B824-E3B1C1A138EC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Readme" sheetId="11" r:id="rId1"/>
    <sheet name="Raw_data" sheetId="4" r:id="rId2"/>
    <sheet name="Pivot_Tables" sheetId="5" r:id="rId3"/>
    <sheet name="Dashboards" sheetId="6" r:id="rId4"/>
    <sheet name="Insights" sheetId="7" r:id="rId5"/>
  </sheets>
  <definedNames>
    <definedName name="ExternalData_1" localSheetId="1" hidden="1">Raw_data!$A$1:$W$133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7" l="1"/>
  <c r="F12" i="7"/>
  <c r="F13" i="7"/>
  <c r="F14" i="7"/>
  <c r="F15" i="7"/>
  <c r="F16" i="7"/>
  <c r="F17" i="7"/>
  <c r="F18" i="7"/>
  <c r="D9" i="7"/>
  <c r="D10" i="7" s="1"/>
  <c r="D11" i="7" s="1"/>
  <c r="D12" i="7" s="1"/>
  <c r="D13" i="7" s="1"/>
  <c r="D14" i="7" s="1"/>
  <c r="F19" i="7"/>
  <c r="F10" i="7"/>
  <c r="F9" i="7"/>
  <c r="F8" i="7"/>
  <c r="D15" i="7" l="1"/>
  <c r="D16" i="7" s="1"/>
  <c r="D17" i="7" s="1"/>
  <c r="D18" i="7" s="1"/>
  <c r="D1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8838C5-79C5-46D5-8BE0-DC13857866C0}" keepAlive="1" name="Query - electricity" description="Connection to the 'electricity' query in the workbook." type="5" refreshedVersion="0" background="1">
    <dbPr connection="Provider=Microsoft.Mashup.OleDb.1;Data Source=$Workbook$;Location=electricity;Extended Properties=&quot;&quot;" command="SELECT * FROM [electricity]"/>
  </connection>
  <connection id="2" xr16:uid="{55C735AB-E8F3-47B9-B437-5833CEC4BA03}" keepAlive="1" name="Query - EV_MASTER" description="Connection to the 'EV_MASTER' query in the workbook." type="5" refreshedVersion="8" background="1" saveData="1">
    <dbPr connection="Provider=Microsoft.Mashup.OleDb.1;Data Source=$Workbook$;Location=EV_MASTER;Extended Properties=&quot;&quot;" command="SELECT * FROM [EV_MASTER]"/>
  </connection>
  <connection id="3" xr16:uid="{F20CC06A-6421-45B2-9CBD-4AAC214A281F}" keepAlive="1" name="Query - Master_query" description="Connection to the 'Master_query' query in the workbook." type="5" refreshedVersion="8" background="1" saveData="1">
    <dbPr connection="Provider=Microsoft.Mashup.OleDb.1;Data Source=$Workbook$;Location=Master_query;Extended Properties=&quot;&quot;" command="SELECT * FROM [Master_query]"/>
  </connection>
  <connection id="4" xr16:uid="{E7FAE64A-D1AC-4331-B5DF-17E4427A5F8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5" xr16:uid="{15225747-0333-4818-AD14-099A110CEEBC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6B976861-D5DC-4B73-8083-9FB30B9FC1A5}" keepAlive="1" name="Query - pw_sheet" description="Connection to the 'pw_sheet' query in the workbook." type="5" refreshedVersion="0" background="1">
    <dbPr connection="Provider=Microsoft.Mashup.OleDb.1;Data Source=$Workbook$;Location=pw_sheet;Extended Properties=&quot;&quot;" command="SELECT * FROM [pw_sheet]"/>
  </connection>
  <connection id="7" xr16:uid="{5C077E44-9A15-4AB0-B914-647A65A4636D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A9B7BDB8-A1A0-4444-89DA-86392B6E63FF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9" xr16:uid="{B4FA686F-766E-46B5-81B5-4D3C27E43A4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82FC731A-B52A-4CE6-9D76-7FE151707655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1" xr16:uid="{6842AFF4-9B7C-494B-AB2B-C121783F619C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2" xr16:uid="{535BB308-1D22-4831-8256-29140A25D8C7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</connections>
</file>

<file path=xl/sharedStrings.xml><?xml version="1.0" encoding="utf-8"?>
<sst xmlns="http://schemas.openxmlformats.org/spreadsheetml/2006/main" count="878" uniqueCount="115">
  <si>
    <t>Year</t>
  </si>
  <si>
    <t>State</t>
  </si>
  <si>
    <t>2W EV Sales</t>
  </si>
  <si>
    <t>2W EV Penetration</t>
  </si>
  <si>
    <t>3W EV Sales</t>
  </si>
  <si>
    <t>3W EV Penetration</t>
  </si>
  <si>
    <t>4W EV Sales</t>
  </si>
  <si>
    <t>4W EV Penetration</t>
  </si>
  <si>
    <t>Bus EV Sales</t>
  </si>
  <si>
    <t>Bus EV Penetration</t>
  </si>
  <si>
    <t>Others EV Sales</t>
  </si>
  <si>
    <t>Others EV Penetration</t>
  </si>
  <si>
    <t>Peak Demand (MW)</t>
  </si>
  <si>
    <t>Peak Met (MW)</t>
  </si>
  <si>
    <t>Demand Not Met (MW)</t>
  </si>
  <si>
    <t>Demand Not Met (%)</t>
  </si>
  <si>
    <t>Per_Capita_Income</t>
  </si>
  <si>
    <t>Total_EV_Sales</t>
  </si>
  <si>
    <t>Ratio_3W_to_4W</t>
  </si>
  <si>
    <t>Buyer_Type</t>
  </si>
  <si>
    <t>Income_Category</t>
  </si>
  <si>
    <t>Power_Status</t>
  </si>
  <si>
    <t>2021</t>
  </si>
  <si>
    <t>Andaman &amp; Nicobar Island</t>
  </si>
  <si>
    <t>Luxury</t>
  </si>
  <si>
    <t>High</t>
  </si>
  <si>
    <t>High Risk</t>
  </si>
  <si>
    <t>Andhra Pradesh</t>
  </si>
  <si>
    <t>Mixed</t>
  </si>
  <si>
    <t>Middle</t>
  </si>
  <si>
    <t>Stable</t>
  </si>
  <si>
    <t>2022</t>
  </si>
  <si>
    <t>Arunachal Pradesh</t>
  </si>
  <si>
    <t>No Data</t>
  </si>
  <si>
    <t>2023</t>
  </si>
  <si>
    <t>Assam</t>
  </si>
  <si>
    <t>Necessity</t>
  </si>
  <si>
    <t>Low</t>
  </si>
  <si>
    <t>Moderate Risk</t>
  </si>
  <si>
    <t>2024</t>
  </si>
  <si>
    <t>Bihar</t>
  </si>
  <si>
    <t>Chandigarh</t>
  </si>
  <si>
    <t>Chhattisgarh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</si>
  <si>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</si>
  <si>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</si>
  <si>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</si>
  <si>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</si>
  <si>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</si>
  <si>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</si>
  <si>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</si>
  <si>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</si>
  <si>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</si>
  <si>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</si>
  <si>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</si>
  <si>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</si>
  <si>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</si>
  <si>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</si>
  <si>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</si>
  <si>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</si>
  <si>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</si>
  <si>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</si>
  <si>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</si>
  <si>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</si>
  <si>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</si>
  <si>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</si>
  <si>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</si>
  <si>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</si>
  <si>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</si>
  <si>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</si>
  <si>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EV_Readiness_Score</t>
  </si>
  <si>
    <t>Column Labels</t>
  </si>
  <si>
    <t>Grand Total</t>
  </si>
  <si>
    <t>Row Labels</t>
  </si>
  <si>
    <t>(All)</t>
  </si>
  <si>
    <t>Average of EV_Readiness_Score</t>
  </si>
  <si>
    <t>Sum of Total_EV_Sales</t>
  </si>
  <si>
    <t>Average of Ratio_3W_to_4W</t>
  </si>
  <si>
    <t>Count of Buyer_Type</t>
  </si>
  <si>
    <t>Average of 4W_TORATIO_ALLW</t>
  </si>
  <si>
    <t xml:space="preserve">Metric </t>
  </si>
  <si>
    <t>Average of 4W sales ,with category as power-status "stable" and year 2024</t>
  </si>
  <si>
    <t>Average of 4W sales ,with category as power-status "High Risk" and year 2024</t>
  </si>
  <si>
    <t>Counting buyer type where buyer type is necessity in the year 2024</t>
  </si>
  <si>
    <t>Counting buyer type where buyer type is Luxury in the year 2024</t>
  </si>
  <si>
    <t>SUM of 3w in year 2024 where per capita income is less than 10000</t>
  </si>
  <si>
    <t xml:space="preserve">Highest per capita income value </t>
  </si>
  <si>
    <t>State with the highest per capita income value</t>
  </si>
  <si>
    <t>Formula and Result</t>
  </si>
  <si>
    <t>PIVOT TABLE 1</t>
  </si>
  <si>
    <t>PIVOT TABLE 2</t>
  </si>
  <si>
    <t>PIVOT TABLE 3</t>
  </si>
  <si>
    <t>PIVOT TABLE 4</t>
  </si>
  <si>
    <t>PIVOT TABLE 5</t>
  </si>
  <si>
    <t>PIVOT TABLE 6</t>
  </si>
  <si>
    <t>PIVOT TABLE 7</t>
  </si>
  <si>
    <t>Relation Between 3W EV SALES and per capita income</t>
  </si>
  <si>
    <t>Relation Between 4W EV Penetration With Electricity % Not met of each state</t>
  </si>
  <si>
    <t>Relation between EV Readiness and 4W EV Penetration</t>
  </si>
  <si>
    <t>Average of 4W sales, with High income category state in the year 2024</t>
  </si>
  <si>
    <t>Average of 4W sales, with low income category state in the year 2024</t>
  </si>
  <si>
    <t>S.NO</t>
  </si>
  <si>
    <t>INSIGHTS TABLE</t>
  </si>
  <si>
    <t>DATA SOURCES:</t>
  </si>
  <si>
    <t>- EV Sales: Clean Mobility Shift (VAHAN portal) 2021-2024</t>
  </si>
  <si>
    <t>- Electricity: CEA General Review 2022-2025</t>
  </si>
  <si>
    <t>- Per Capita Income: RBI Handbook of Statistics 2024</t>
  </si>
  <si>
    <t xml:space="preserve">stronger barrier to EV adoption than income alone </t>
  </si>
  <si>
    <t>(CORREL -0.089)</t>
  </si>
  <si>
    <t>AVERAGEIFS, COUNTIFS, Conditional Formatting</t>
  </si>
  <si>
    <r>
      <rPr>
        <sz val="16"/>
        <color rgb="FFFF0000"/>
        <rFont val="Calibri"/>
        <family val="2"/>
        <scheme val="minor"/>
      </rPr>
      <t>SCOPE</t>
    </r>
    <r>
      <rPr>
        <sz val="16"/>
        <color theme="1"/>
        <rFont val="Calibri"/>
        <family val="2"/>
        <scheme val="minor"/>
      </rPr>
      <t>: 33 states and UTs, 4 financial years</t>
    </r>
  </si>
  <si>
    <r>
      <rPr>
        <sz val="16"/>
        <color rgb="FFFF0000"/>
        <rFont val="Calibri"/>
        <family val="2"/>
        <scheme val="minor"/>
      </rPr>
      <t>KEY FINDING:</t>
    </r>
    <r>
      <rPr>
        <sz val="16"/>
        <color theme="1"/>
        <rFont val="Calibri"/>
        <family val="2"/>
        <scheme val="minor"/>
      </rPr>
      <t xml:space="preserve"> Power grid stability (CORREL -0.38) is a </t>
    </r>
  </si>
  <si>
    <r>
      <rPr>
        <sz val="16"/>
        <color rgb="FFFF0000"/>
        <rFont val="Calibri"/>
        <family val="2"/>
        <scheme val="minor"/>
      </rPr>
      <t>TOOLS USED</t>
    </r>
    <r>
      <rPr>
        <sz val="16"/>
        <color theme="1"/>
        <rFont val="Calibri"/>
        <family val="2"/>
        <scheme val="minor"/>
      </rPr>
      <t xml:space="preserve">: Power Query, Pivot Tables, CORREL, </t>
    </r>
  </si>
  <si>
    <t xml:space="preserve">   EV Sales Dashboard</t>
  </si>
  <si>
    <t>PROJECT: Is India's EV Push Real or Just Rich State Bias?</t>
  </si>
  <si>
    <r>
      <rPr>
        <b/>
        <sz val="16"/>
        <color rgb="FFFF0000"/>
        <rFont val="Calibri"/>
        <family val="2"/>
        <scheme val="minor"/>
      </rPr>
      <t>OBJECTIVE</t>
    </r>
    <r>
      <rPr>
        <sz val="16"/>
        <color theme="1"/>
        <rFont val="Calibri"/>
        <family val="2"/>
        <scheme val="minor"/>
      </rPr>
      <t>: Analyze whether EV adoption in India is driven by genuine consumer demand or limited to economically advantaged states with stable power infrastructure.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</si>
</sst>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6"/>
      <color rgb="FFFF0000"/>
      <name val="Calibri"/>
      <family val="2"/>
      <scheme val="minor"/>
    </font>
    <font>
      <sz val="11"/>
      <color rgb="FFFFF7F7"/>
      <name val="Times New Roman"/>
      <family val="1"/>
    </font>
    <font>
      <b/>
      <sz val="16"/>
      <color rgb="FFFF0000"/>
      <name val="Calibri"/>
      <family val="2"/>
      <scheme val="minor"/>
    </font>
    <font>
      <b/>
      <sz val="45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0" fontId="1" fillId="0" borderId="0" xfId="0" applyNumberFormat="1" applyFont="1"/>
    <xf numFmtId="10" fontId="0" fillId="0" borderId="0" xfId="0" applyNumberFormat="1"/>
    <xf numFmtId="0" fontId="0" fillId="0" borderId="0" xfId="0" applyAlignment="1">
      <alignment wrapText="1"/>
    </xf>
    <xf numFmtId="0" fontId="5" fillId="0" borderId="0" xfId="0" applyFont="1"/>
    <xf numFmtId="0" fontId="0" fillId="0" borderId="0" xfId="0" applyAlignment="1">
      <alignment horizontal="right"/>
    </xf>
    <xf numFmtId="0" fontId="8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7" fillId="0" borderId="0" xfId="0" applyFont="1"/>
    <xf numFmtId="0" fontId="6" fillId="0" borderId="0" xfId="0" applyFont="1"/>
    <xf numFmtId="0" fontId="11" fillId="0" borderId="0" xfId="0" applyFont="1"/>
    <xf numFmtId="0" fontId="12" fillId="0" borderId="0" xfId="0" applyFont="1"/>
    <xf numFmtId="0" fontId="8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/>
    <xf numFmtId="0" fontId="9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0" fillId="3" borderId="0" xfId="0" applyFont="1" applyFill="1" applyAlignment="1">
      <alignment horizontal="left" vertical="top"/>
    </xf>
  </cellXfs>
  <cellStyles count="1">
    <cellStyle name="Normal" xfId="0" builtinId="0"/>
  </cellStyles>
  <dxfs count="12">
    <dxf>
      <font>
        <b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22"/>
        <color theme="1"/>
        <name val="Calibri"/>
        <family val="2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1" defaultTableStyle="TableStyleMedium2" defaultPivotStyle="PivotStyleLight22">
    <tableStyle name="Slicer Style 1" pivot="0" table="0" count="0" xr9:uid="{BF3C5EE4-5AFC-4554-A44B-D8858D53FBAF}"/>
  </tableStyles>
  <colors>
    <mruColors>
      <color rgb="FFF5F5F5"/>
      <color rgb="FFF3F3F3"/>
      <color rgb="FFF7F7F7"/>
      <color rgb="FFF0F0F0"/>
      <color rgb="FFFFF7F7"/>
      <color rgb="FFFFFFFF"/>
      <color rgb="FFEFFD6F"/>
      <color rgb="FFFF8181"/>
      <color rgb="FF97D5FF"/>
      <color rgb="FF8AE28A"/>
    </mruColors>
  </colors>
  <extLst>
    <ext xmlns:x14="http://schemas.microsoft.com/office/spreadsheetml/2009/9/main" uri="{EB79DEF2-80B8-43e5-95BD-54CBDDF9020C}">
      <x14:slicerStyles defaultSlicerStyle="SlicerStyleLight1">
        <x14:slicerStyle name="Slicer Style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HIB HUSSAIN" refreshedDate="46202.61946898148" createdVersion="8" refreshedVersion="8" minRefreshableVersion="3" recordCount="132" xr:uid="{1F71833D-9CD8-4D9C-A637-3988C3A333AD}">
  <cacheSource type="worksheet">
    <worksheetSource name="Master_query"/>
  </cacheSource>
  <cacheFields count="24">
    <cacheField name="Year" numFmtId="0">
      <sharedItems count="4">
        <s v="2021"/>
        <s v="2022"/>
        <s v="2023"/>
        <s v="2024"/>
      </sharedItems>
    </cacheField>
    <cacheField name="State" numFmtId="0">
      <sharedItems count="33">
        <s v="Andaman &amp; Nicobar Island"/>
        <s v="Andhra Pradesh"/>
        <s v="Arunachal Pradesh"/>
        <s v="Assam"/>
        <s v="Bihar"/>
        <s v="Chandigarh"/>
        <s v="Chhattisgarh"/>
        <s v="Delhi"/>
        <s v="Goa"/>
        <s v="Gujarat"/>
        <s v="Haryana"/>
        <s v="Himachal Pradesh"/>
        <s v="Jammu and Kashmir"/>
        <s v="Jharkhand"/>
        <s v="Karnataka"/>
        <s v="Kerala"/>
        <s v="Madhya Pradesh"/>
        <s v="Maharashtra"/>
        <s v="Manipur"/>
        <s v="Meghalaya"/>
        <s v="Mizoram"/>
        <s v="Nagaland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2W EV Sales" numFmtId="0">
      <sharedItems containsSemiMixedTypes="0" containsString="0" containsNumber="1" containsInteger="1" minValue="0" maxValue="167773"/>
    </cacheField>
    <cacheField name="2W EV Penetration" numFmtId="10">
      <sharedItems containsSemiMixedTypes="0" containsString="0" containsNumber="1" minValue="0" maxValue="0.1575"/>
    </cacheField>
    <cacheField name="3W EV Sales" numFmtId="0">
      <sharedItems containsSemiMixedTypes="0" containsString="0" containsNumber="1" containsInteger="1" minValue="0" maxValue="232595"/>
    </cacheField>
    <cacheField name="3W EV Penetration" numFmtId="10">
      <sharedItems containsSemiMixedTypes="0" containsString="0" containsNumber="1" minValue="0" maxValue="0.96220000000000006"/>
    </cacheField>
    <cacheField name="4W EV Sales" numFmtId="0">
      <sharedItems containsSemiMixedTypes="0" containsString="0" containsNumber="1" containsInteger="1" minValue="0" maxValue="16893"/>
    </cacheField>
    <cacheField name="4W EV Penetration" numFmtId="10">
      <sharedItems containsSemiMixedTypes="0" containsString="0" containsNumber="1" minValue="0" maxValue="0.16370000000000001"/>
    </cacheField>
    <cacheField name="Bus EV Sales" numFmtId="0">
      <sharedItems containsSemiMixedTypes="0" containsString="0" containsNumber="1" containsInteger="1" minValue="0" maxValue="1121"/>
    </cacheField>
    <cacheField name="Bus EV Penetration" numFmtId="10">
      <sharedItems containsSemiMixedTypes="0" containsString="0" containsNumber="1" minValue="0" maxValue="0.93020000000000003"/>
    </cacheField>
    <cacheField name="Others EV Sales" numFmtId="0">
      <sharedItems containsSemiMixedTypes="0" containsString="0" containsNumber="1" containsInteger="1" minValue="0" maxValue="2179"/>
    </cacheField>
    <cacheField name="Others EV Penetration" numFmtId="10">
      <sharedItems containsSemiMixedTypes="0" containsString="0" containsNumber="1" minValue="0" maxValue="6.8900000000000003E-2"/>
    </cacheField>
    <cacheField name="Peak Demand (MW)" numFmtId="0">
      <sharedItems containsSemiMixedTypes="0" containsString="0" containsNumber="1" minValue="58" maxValue="31178"/>
    </cacheField>
    <cacheField name="Peak Met (MW)" numFmtId="0">
      <sharedItems containsSemiMixedTypes="0" containsString="0" containsNumber="1" minValue="54" maxValue="28846"/>
    </cacheField>
    <cacheField name="Demand Not Met (MW)" numFmtId="0">
      <sharedItems containsSemiMixedTypes="0" containsString="0" containsNumber="1" containsInteger="1" minValue="0" maxValue="3182"/>
    </cacheField>
    <cacheField name="Demand Not Met (%)" numFmtId="10">
      <sharedItems containsSemiMixedTypes="0" containsString="0" containsNumber="1" minValue="0" maxValue="0.18290000000000001"/>
    </cacheField>
    <cacheField name="Per_Capita_Income" numFmtId="0">
      <sharedItems containsSemiMixedTypes="0" containsString="0" containsNumber="1" containsInteger="1" minValue="0" maxValue="587743"/>
    </cacheField>
    <cacheField name="Total_EV_Sales" numFmtId="0">
      <sharedItems containsSemiMixedTypes="0" containsString="0" containsNumber="1" containsInteger="1" minValue="0" maxValue="277300"/>
    </cacheField>
    <cacheField name="Ratio_3W_to_4W" numFmtId="0">
      <sharedItems containsString="0" containsBlank="1" containsNumber="1" minValue="0" maxValue="100"/>
    </cacheField>
    <cacheField name="Buyer_Type" numFmtId="0">
      <sharedItems count="4">
        <s v="Luxury"/>
        <s v="Mixed"/>
        <s v="No Data"/>
        <s v="Necessity"/>
      </sharedItems>
    </cacheField>
    <cacheField name="Income_Category" numFmtId="0">
      <sharedItems count="3">
        <s v="High"/>
        <s v="Low"/>
        <s v="Middle"/>
      </sharedItems>
    </cacheField>
    <cacheField name="Power_Status" numFmtId="0">
      <sharedItems count="3">
        <s v="High Risk"/>
        <s v="Stable"/>
        <s v="Moderate Risk"/>
      </sharedItems>
    </cacheField>
    <cacheField name="EV_Readiness_Score" numFmtId="0">
      <sharedItems containsSemiMixedTypes="0" containsString="0" containsNumber="1" containsInteger="1" minValue="36" maxValue="93"/>
    </cacheField>
    <cacheField name="4W_TORATIO_ALLW" numFmtId="0" formula="IF('4W EV Sales'=0, 0, ROUND(('4W EV Sales'/Total_EV_Sales)*100, 2))" databaseField="0"/>
  </cacheFields>
  <extLst>
    <ext xmlns:x14="http://schemas.microsoft.com/office/spreadsheetml/2009/9/main" uri="{725AE2AE-9491-48be-B2B4-4EB974FC3084}">
      <x14:pivotCacheDefinition pivotCacheId="16882527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x v="0"/>
    <x v="0"/>
    <n v="0"/>
    <n v="0"/>
    <n v="30"/>
    <n v="0.1961"/>
    <n v="22"/>
    <n v="1.8100000000000002E-2"/>
    <n v="40"/>
    <n v="0.93020000000000003"/>
    <n v="0"/>
    <n v="0"/>
    <n v="58"/>
    <n v="54"/>
    <n v="4"/>
    <n v="6.9000000000000006E-2"/>
    <n v="205368"/>
    <n v="92"/>
    <n v="1.36"/>
    <x v="0"/>
    <x v="0"/>
    <x v="0"/>
    <n v="71"/>
  </r>
  <r>
    <x v="1"/>
    <x v="0"/>
    <n v="16"/>
    <n v="3.3999999999999998E-3"/>
    <n v="0"/>
    <n v="0"/>
    <n v="7"/>
    <n v="4.3E-3"/>
    <n v="0"/>
    <n v="0"/>
    <n v="0"/>
    <n v="0"/>
    <n v="60.1"/>
    <n v="60.1"/>
    <n v="0"/>
    <n v="0"/>
    <n v="229570"/>
    <n v="23"/>
    <n v="0"/>
    <x v="0"/>
    <x v="0"/>
    <x v="1"/>
    <n v="61"/>
  </r>
  <r>
    <x v="2"/>
    <x v="0"/>
    <n v="12"/>
    <n v="2.3999999999999998E-3"/>
    <n v="0"/>
    <n v="0"/>
    <n v="14"/>
    <n v="7.4000000000000003E-3"/>
    <n v="0"/>
    <n v="0"/>
    <n v="0"/>
    <n v="0"/>
    <n v="62.3"/>
    <n v="62.3"/>
    <n v="0"/>
    <n v="0"/>
    <n v="258151"/>
    <n v="26"/>
    <n v="0"/>
    <x v="0"/>
    <x v="0"/>
    <x v="1"/>
    <n v="71"/>
  </r>
  <r>
    <x v="3"/>
    <x v="0"/>
    <n v="25"/>
    <n v="7.3000000000000001E-3"/>
    <n v="0"/>
    <n v="0"/>
    <n v="31"/>
    <n v="2.6700000000000002E-2"/>
    <n v="0"/>
    <n v="0"/>
    <n v="1"/>
    <n v="6.7999999999999996E-3"/>
    <n v="65"/>
    <n v="60"/>
    <n v="5"/>
    <n v="7.6999999999999999E-2"/>
    <n v="0"/>
    <n v="57"/>
    <n v="0"/>
    <x v="0"/>
    <x v="1"/>
    <x v="0"/>
    <n v="57"/>
  </r>
  <r>
    <x v="0"/>
    <x v="1"/>
    <n v="7784"/>
    <n v="1.06E-2"/>
    <n v="1231"/>
    <n v="7.6300000000000007E-2"/>
    <n v="387"/>
    <n v="4.3E-3"/>
    <n v="0"/>
    <n v="0"/>
    <n v="138"/>
    <n v="1.6999999999999999E-3"/>
    <n v="11193"/>
    <n v="11193"/>
    <n v="0"/>
    <n v="0"/>
    <n v="168063"/>
    <n v="9540"/>
    <n v="3.18"/>
    <x v="1"/>
    <x v="2"/>
    <x v="1"/>
    <n v="57"/>
  </r>
  <r>
    <x v="1"/>
    <x v="1"/>
    <n v="27303"/>
    <n v="4.2200000000000001E-2"/>
    <n v="608"/>
    <n v="2.93E-2"/>
    <n v="747"/>
    <n v="8.6999999999999994E-3"/>
    <n v="26"/>
    <n v="1.06E-2"/>
    <n v="322"/>
    <n v="4.4999999999999997E-3"/>
    <n v="12551"/>
    <n v="12032"/>
    <n v="519"/>
    <n v="4.1399999999999999E-2"/>
    <n v="197214"/>
    <n v="29006"/>
    <n v="0.81"/>
    <x v="0"/>
    <x v="2"/>
    <x v="2"/>
    <n v="68"/>
  </r>
  <r>
    <x v="2"/>
    <x v="1"/>
    <n v="28434"/>
    <n v="4.24E-2"/>
    <n v="1062"/>
    <n v="7.2499999999999995E-2"/>
    <n v="1623"/>
    <n v="1.77E-2"/>
    <n v="90"/>
    <n v="7.0800000000000002E-2"/>
    <n v="297"/>
    <n v="5.8999999999999999E-3"/>
    <n v="13167"/>
    <n v="12293"/>
    <n v="874"/>
    <n v="6.6400000000000001E-2"/>
    <n v="219881"/>
    <n v="31506"/>
    <n v="0.65"/>
    <x v="0"/>
    <x v="0"/>
    <x v="0"/>
    <n v="72"/>
  </r>
  <r>
    <x v="3"/>
    <x v="1"/>
    <n v="33425"/>
    <n v="0.10009999999999999"/>
    <n v="3256"/>
    <n v="0.1467"/>
    <n v="3600"/>
    <n v="8.1600000000000006E-2"/>
    <n v="17"/>
    <n v="1.2800000000000001E-2"/>
    <n v="199"/>
    <n v="5.4999999999999997E-3"/>
    <n v="13237"/>
    <n v="13237"/>
    <n v="0"/>
    <n v="0"/>
    <n v="242479"/>
    <n v="40497"/>
    <n v="0.9"/>
    <x v="0"/>
    <x v="0"/>
    <x v="1"/>
    <n v="76"/>
  </r>
  <r>
    <x v="0"/>
    <x v="2"/>
    <n v="2"/>
    <n v="2.0000000000000001E-4"/>
    <n v="0"/>
    <n v="0"/>
    <n v="0"/>
    <n v="0"/>
    <n v="0"/>
    <n v="0"/>
    <n v="0"/>
    <n v="0"/>
    <n v="158"/>
    <n v="149"/>
    <n v="9"/>
    <n v="5.7000000000000002E-2"/>
    <n v="181537"/>
    <n v="2"/>
    <m/>
    <x v="2"/>
    <x v="2"/>
    <x v="0"/>
    <n v="45"/>
  </r>
  <r>
    <x v="1"/>
    <x v="2"/>
    <n v="1"/>
    <n v="1E-4"/>
    <n v="0"/>
    <n v="0"/>
    <n v="1"/>
    <n v="1E-4"/>
    <n v="0"/>
    <n v="0"/>
    <n v="0"/>
    <n v="0"/>
    <n v="197"/>
    <n v="168"/>
    <n v="29"/>
    <n v="0.1472"/>
    <n v="190851"/>
    <n v="2"/>
    <n v="0"/>
    <x v="0"/>
    <x v="2"/>
    <x v="0"/>
    <n v="43"/>
  </r>
  <r>
    <x v="2"/>
    <x v="2"/>
    <n v="3"/>
    <n v="2.0000000000000001E-4"/>
    <n v="0"/>
    <n v="0"/>
    <n v="18"/>
    <n v="1.4E-3"/>
    <n v="0"/>
    <n v="0"/>
    <n v="0"/>
    <n v="0"/>
    <n v="167"/>
    <n v="167"/>
    <n v="0"/>
    <n v="0"/>
    <n v="199992"/>
    <n v="21"/>
    <n v="0"/>
    <x v="0"/>
    <x v="2"/>
    <x v="1"/>
    <n v="52"/>
  </r>
  <r>
    <x v="3"/>
    <x v="2"/>
    <n v="33"/>
    <n v="4.7000000000000002E-3"/>
    <n v="1"/>
    <n v="2.0400000000000001E-2"/>
    <n v="31"/>
    <n v="3.7000000000000002E-3"/>
    <n v="0"/>
    <n v="0"/>
    <n v="1"/>
    <n v="5.0000000000000001E-4"/>
    <n v="186"/>
    <n v="186"/>
    <n v="0"/>
    <n v="2E-3"/>
    <n v="0"/>
    <n v="66"/>
    <n v="0.03"/>
    <x v="0"/>
    <x v="1"/>
    <x v="2"/>
    <n v="44"/>
  </r>
  <r>
    <x v="0"/>
    <x v="3"/>
    <n v="378"/>
    <n v="1.1000000000000001E-3"/>
    <n v="15247"/>
    <n v="0.72"/>
    <n v="7"/>
    <n v="1E-4"/>
    <n v="0"/>
    <n v="0"/>
    <n v="1"/>
    <n v="0"/>
    <n v="2072"/>
    <n v="1987"/>
    <n v="85"/>
    <n v="4.1000000000000002E-2"/>
    <n v="86947"/>
    <n v="15633"/>
    <n v="100"/>
    <x v="3"/>
    <x v="1"/>
    <x v="2"/>
    <n v="40"/>
  </r>
  <r>
    <x v="1"/>
    <x v="3"/>
    <n v="1902"/>
    <n v="5.4000000000000003E-3"/>
    <n v="38729"/>
    <n v="0.83730000000000004"/>
    <n v="82"/>
    <n v="1E-3"/>
    <n v="0"/>
    <n v="0"/>
    <n v="7"/>
    <n v="2.0000000000000001E-4"/>
    <n v="2126"/>
    <n v="2121"/>
    <n v="5"/>
    <n v="2.3999999999999998E-3"/>
    <n v="103371"/>
    <n v="40720"/>
    <n v="100"/>
    <x v="3"/>
    <x v="2"/>
    <x v="2"/>
    <n v="44"/>
  </r>
  <r>
    <x v="2"/>
    <x v="3"/>
    <n v="2455"/>
    <n v="5.4000000000000003E-3"/>
    <n v="57900"/>
    <n v="0.82289999999999996"/>
    <n v="269"/>
    <n v="2.8999999999999998E-3"/>
    <n v="158"/>
    <n v="0.12620000000000001"/>
    <n v="16"/>
    <n v="4.0000000000000002E-4"/>
    <n v="2379"/>
    <n v="2376"/>
    <n v="3"/>
    <n v="1.1999999999999999E-3"/>
    <n v="119308"/>
    <n v="60798"/>
    <n v="100"/>
    <x v="3"/>
    <x v="2"/>
    <x v="2"/>
    <n v="50"/>
  </r>
  <r>
    <x v="3"/>
    <x v="3"/>
    <n v="2064"/>
    <n v="1.0999999999999999E-2"/>
    <n v="41335"/>
    <n v="0.96220000000000006"/>
    <n v="254"/>
    <n v="7.4999999999999997E-3"/>
    <n v="45"/>
    <n v="6.6100000000000006E-2"/>
    <n v="30"/>
    <n v="2.5999999999999999E-3"/>
    <n v="2413"/>
    <n v="2413"/>
    <n v="0"/>
    <n v="0"/>
    <n v="135787"/>
    <n v="43728"/>
    <n v="100"/>
    <x v="3"/>
    <x v="2"/>
    <x v="1"/>
    <n v="63"/>
  </r>
  <r>
    <x v="0"/>
    <x v="4"/>
    <n v="2788"/>
    <n v="3.3E-3"/>
    <n v="20206"/>
    <n v="0.44640000000000002"/>
    <n v="61"/>
    <n v="8.9999999999999998E-4"/>
    <n v="26"/>
    <n v="2.4E-2"/>
    <n v="1"/>
    <n v="0"/>
    <n v="5995"/>
    <n v="5938"/>
    <n v="58"/>
    <n v="9.7000000000000003E-3"/>
    <n v="42128"/>
    <n v="23082"/>
    <n v="100"/>
    <x v="3"/>
    <x v="1"/>
    <x v="2"/>
    <n v="40"/>
  </r>
  <r>
    <x v="1"/>
    <x v="4"/>
    <n v="9936"/>
    <n v="1.09E-2"/>
    <n v="45666"/>
    <n v="0.63229999999999997"/>
    <n v="135"/>
    <n v="1.9E-3"/>
    <n v="1"/>
    <n v="8.0000000000000004E-4"/>
    <n v="14"/>
    <n v="2.0000000000000001E-4"/>
    <n v="7154"/>
    <n v="6490"/>
    <n v="664"/>
    <n v="9.2799999999999994E-2"/>
    <n v="47296"/>
    <n v="55752"/>
    <n v="100"/>
    <x v="3"/>
    <x v="1"/>
    <x v="0"/>
    <n v="40"/>
  </r>
  <r>
    <x v="2"/>
    <x v="4"/>
    <n v="12393"/>
    <n v="1.2E-2"/>
    <n v="75191"/>
    <n v="0.69550000000000001"/>
    <n v="587"/>
    <n v="8.0000000000000002E-3"/>
    <n v="0"/>
    <n v="0"/>
    <n v="15"/>
    <n v="2.0000000000000001E-4"/>
    <n v="7852"/>
    <n v="6631"/>
    <n v="1221"/>
    <n v="0.1555"/>
    <n v="53478"/>
    <n v="88186"/>
    <n v="100"/>
    <x v="3"/>
    <x v="1"/>
    <x v="0"/>
    <n v="53"/>
  </r>
  <r>
    <x v="3"/>
    <x v="4"/>
    <n v="15322"/>
    <n v="2.7300000000000001E-2"/>
    <n v="40442"/>
    <n v="0.80489999999999995"/>
    <n v="649"/>
    <n v="1.41E-2"/>
    <n v="0"/>
    <n v="0"/>
    <n v="113"/>
    <n v="3.2000000000000002E-3"/>
    <n v="8049"/>
    <n v="7420"/>
    <n v="629"/>
    <n v="7.8E-2"/>
    <n v="60337"/>
    <n v="56526"/>
    <n v="62.31"/>
    <x v="3"/>
    <x v="1"/>
    <x v="0"/>
    <n v="61"/>
  </r>
  <r>
    <x v="0"/>
    <x v="5"/>
    <n v="197"/>
    <n v="1.2E-2"/>
    <n v="386"/>
    <n v="0.64229999999999998"/>
    <n v="111"/>
    <n v="5.4999999999999997E-3"/>
    <n v="40"/>
    <n v="0.66669999999999996"/>
    <n v="0"/>
    <n v="0"/>
    <n v="383"/>
    <n v="383"/>
    <n v="0"/>
    <n v="0"/>
    <n v="290417"/>
    <n v="734"/>
    <n v="3.48"/>
    <x v="1"/>
    <x v="0"/>
    <x v="1"/>
    <n v="68"/>
  </r>
  <r>
    <x v="1"/>
    <x v="5"/>
    <n v="857"/>
    <n v="3.8899999999999997E-2"/>
    <n v="1550"/>
    <n v="0.87819999999999998"/>
    <n v="272"/>
    <n v="1.0500000000000001E-2"/>
    <n v="40"/>
    <n v="0.23810000000000001"/>
    <n v="0"/>
    <n v="0"/>
    <n v="426"/>
    <n v="426"/>
    <n v="0"/>
    <n v="0"/>
    <n v="337406"/>
    <n v="2719"/>
    <n v="5.7"/>
    <x v="3"/>
    <x v="0"/>
    <x v="1"/>
    <n v="82"/>
  </r>
  <r>
    <x v="2"/>
    <x v="5"/>
    <n v="2148"/>
    <n v="9.9000000000000005E-2"/>
    <n v="3202"/>
    <n v="0.95979999999999999"/>
    <n v="956"/>
    <n v="3.7400000000000003E-2"/>
    <n v="0"/>
    <n v="0"/>
    <n v="27"/>
    <n v="2.5499999999999998E-2"/>
    <n v="407"/>
    <n v="407"/>
    <n v="0"/>
    <n v="0"/>
    <n v="399654"/>
    <n v="6333"/>
    <n v="3.35"/>
    <x v="1"/>
    <x v="0"/>
    <x v="1"/>
    <n v="87"/>
  </r>
  <r>
    <x v="3"/>
    <x v="5"/>
    <n v="679"/>
    <n v="6.1899999999999997E-2"/>
    <n v="668"/>
    <n v="0.86529999999999996"/>
    <n v="1044"/>
    <n v="0.1205"/>
    <n v="45"/>
    <n v="0.1573"/>
    <n v="18"/>
    <n v="3.5900000000000001E-2"/>
    <n v="411"/>
    <n v="411"/>
    <n v="0"/>
    <n v="0"/>
    <n v="0"/>
    <n v="2454"/>
    <n v="0.64"/>
    <x v="0"/>
    <x v="1"/>
    <x v="1"/>
    <n v="60"/>
  </r>
  <r>
    <x v="0"/>
    <x v="6"/>
    <n v="2630"/>
    <n v="7.4000000000000003E-3"/>
    <n v="1514"/>
    <n v="0.53159999999999996"/>
    <n v="70"/>
    <n v="1.4E-3"/>
    <n v="0"/>
    <n v="0"/>
    <n v="0"/>
    <n v="0"/>
    <n v="4682"/>
    <n v="4682"/>
    <n v="0"/>
    <n v="0"/>
    <n v="106117"/>
    <n v="4214"/>
    <n v="21.63"/>
    <x v="3"/>
    <x v="2"/>
    <x v="1"/>
    <n v="46"/>
  </r>
  <r>
    <x v="1"/>
    <x v="6"/>
    <n v="16396"/>
    <n v="4.3200000000000002E-2"/>
    <n v="5602"/>
    <n v="0.81879999999999997"/>
    <n v="364"/>
    <n v="6.7999999999999996E-3"/>
    <n v="0"/>
    <n v="0"/>
    <n v="1"/>
    <n v="0"/>
    <n v="5019"/>
    <n v="5014"/>
    <n v="5"/>
    <n v="1E-3"/>
    <n v="122934"/>
    <n v="22363"/>
    <n v="15.39"/>
    <x v="3"/>
    <x v="2"/>
    <x v="2"/>
    <n v="60"/>
  </r>
  <r>
    <x v="2"/>
    <x v="6"/>
    <n v="25093"/>
    <n v="5.96E-2"/>
    <n v="11351"/>
    <n v="0.89029999999999998"/>
    <n v="1171"/>
    <n v="2.2200000000000001E-2"/>
    <n v="0"/>
    <n v="0"/>
    <n v="23"/>
    <n v="2.9999999999999997E-4"/>
    <n v="5399"/>
    <n v="5399"/>
    <n v="0"/>
    <n v="0"/>
    <n v="137329"/>
    <n v="37638"/>
    <n v="9.69"/>
    <x v="3"/>
    <x v="2"/>
    <x v="1"/>
    <n v="69"/>
  </r>
  <r>
    <x v="3"/>
    <x v="6"/>
    <n v="15941"/>
    <n v="7.1999999999999995E-2"/>
    <n v="5999"/>
    <n v="0.88070000000000004"/>
    <n v="1159"/>
    <n v="3.5299999999999998E-2"/>
    <n v="0"/>
    <n v="0"/>
    <n v="168"/>
    <n v="4.4999999999999997E-3"/>
    <n v="6148"/>
    <n v="6148"/>
    <n v="0"/>
    <n v="0"/>
    <n v="147361"/>
    <n v="23267"/>
    <n v="5.18"/>
    <x v="3"/>
    <x v="2"/>
    <x v="1"/>
    <n v="70"/>
  </r>
  <r>
    <x v="0"/>
    <x v="7"/>
    <n v="7558"/>
    <n v="2.7400000000000001E-2"/>
    <n v="16248"/>
    <n v="0.71150000000000002"/>
    <n v="1959"/>
    <n v="1.3899999999999999E-2"/>
    <n v="31"/>
    <n v="0.10199999999999999"/>
    <n v="19"/>
    <n v="1E-3"/>
    <n v="6314"/>
    <n v="6314"/>
    <n v="0"/>
    <n v="0"/>
    <n v="322311"/>
    <n v="25815"/>
    <n v="8.2899999999999991"/>
    <x v="3"/>
    <x v="0"/>
    <x v="1"/>
    <n v="81"/>
  </r>
  <r>
    <x v="1"/>
    <x v="7"/>
    <n v="34596"/>
    <n v="9.35E-2"/>
    <n v="21623"/>
    <n v="0.73580000000000001"/>
    <n v="5642"/>
    <n v="3.1E-2"/>
    <n v="399"/>
    <n v="0.34610000000000002"/>
    <n v="5"/>
    <n v="2.0000000000000001E-4"/>
    <n v="7323"/>
    <n v="7323"/>
    <n v="0"/>
    <n v="0"/>
    <n v="376217"/>
    <n v="62265"/>
    <n v="3.83"/>
    <x v="1"/>
    <x v="0"/>
    <x v="1"/>
    <n v="85"/>
  </r>
  <r>
    <x v="2"/>
    <x v="7"/>
    <n v="37522"/>
    <n v="9.3700000000000006E-2"/>
    <n v="26344"/>
    <n v="0.78439999999999999"/>
    <n v="8177"/>
    <n v="4.1500000000000002E-2"/>
    <n v="1121"/>
    <n v="0.57550000000000001"/>
    <n v="323"/>
    <n v="1.5900000000000001E-2"/>
    <n v="7695"/>
    <n v="7695"/>
    <n v="0"/>
    <n v="0"/>
    <n v="430120"/>
    <n v="73487"/>
    <n v="3.22"/>
    <x v="1"/>
    <x v="0"/>
    <x v="1"/>
    <n v="89"/>
  </r>
  <r>
    <x v="3"/>
    <x v="7"/>
    <n v="20194"/>
    <n v="8.5900000000000004E-2"/>
    <n v="6698"/>
    <n v="0.65529999999999999"/>
    <n v="10525"/>
    <n v="0.1091"/>
    <n v="858"/>
    <n v="0.66979999999999995"/>
    <n v="690"/>
    <n v="6.8900000000000003E-2"/>
    <n v="7437"/>
    <n v="7437"/>
    <n v="0"/>
    <n v="0"/>
    <n v="461910"/>
    <n v="38965"/>
    <n v="0.64"/>
    <x v="0"/>
    <x v="0"/>
    <x v="1"/>
    <n v="91"/>
  </r>
  <r>
    <x v="0"/>
    <x v="8"/>
    <n v="847"/>
    <n v="2.4500000000000001E-2"/>
    <n v="14"/>
    <n v="0.26419999999999999"/>
    <n v="189"/>
    <n v="1.34E-2"/>
    <n v="35"/>
    <n v="0.34649999999999997"/>
    <n v="10"/>
    <n v="4.5999999999999999E-3"/>
    <n v="612"/>
    <n v="612"/>
    <n v="0"/>
    <n v="0"/>
    <n v="423047"/>
    <n v="1095"/>
    <n v="7.0000000000000007E-2"/>
    <x v="0"/>
    <x v="0"/>
    <x v="1"/>
    <n v="88"/>
  </r>
  <r>
    <x v="1"/>
    <x v="8"/>
    <n v="4992"/>
    <n v="0.1024"/>
    <n v="38"/>
    <n v="0.39179999999999998"/>
    <n v="624"/>
    <n v="3.2399999999999998E-2"/>
    <n v="17"/>
    <n v="0.1328"/>
    <n v="15"/>
    <n v="5.7999999999999996E-3"/>
    <n v="703"/>
    <n v="701"/>
    <n v="2"/>
    <n v="2.8E-3"/>
    <n v="459094"/>
    <n v="5686"/>
    <n v="0.06"/>
    <x v="0"/>
    <x v="0"/>
    <x v="2"/>
    <n v="91"/>
  </r>
  <r>
    <x v="2"/>
    <x v="8"/>
    <n v="8328"/>
    <n v="0.1575"/>
    <n v="45"/>
    <n v="0.30199999999999999"/>
    <n v="962"/>
    <n v="3.9300000000000002E-2"/>
    <n v="45"/>
    <n v="0.1148"/>
    <n v="60"/>
    <n v="1.8800000000000001E-2"/>
    <n v="718"/>
    <n v="718"/>
    <n v="0"/>
    <n v="0"/>
    <n v="492648"/>
    <n v="9440"/>
    <n v="0.05"/>
    <x v="0"/>
    <x v="0"/>
    <x v="1"/>
    <n v="93"/>
  </r>
  <r>
    <x v="3"/>
    <x v="8"/>
    <n v="4063"/>
    <n v="0.15720000000000001"/>
    <n v="26"/>
    <n v="0.27079999999999999"/>
    <n v="857"/>
    <n v="8.3000000000000004E-2"/>
    <n v="2"/>
    <n v="1.44E-2"/>
    <n v="12"/>
    <n v="8.0000000000000002E-3"/>
    <n v="776"/>
    <n v="776"/>
    <n v="0"/>
    <n v="0"/>
    <n v="0"/>
    <n v="4960"/>
    <n v="0.03"/>
    <x v="0"/>
    <x v="1"/>
    <x v="1"/>
    <n v="60"/>
  </r>
  <r>
    <x v="0"/>
    <x v="9"/>
    <n v="7883"/>
    <n v="9.4000000000000004E-3"/>
    <n v="753"/>
    <n v="3.1899999999999998E-2"/>
    <n v="857"/>
    <n v="3.2000000000000002E-3"/>
    <n v="217"/>
    <n v="0.105"/>
    <n v="65"/>
    <n v="5.0000000000000001E-4"/>
    <n v="18528"/>
    <n v="18483"/>
    <n v="45"/>
    <n v="2.3999999999999998E-3"/>
    <n v="207324"/>
    <n v="9775"/>
    <n v="0.88"/>
    <x v="0"/>
    <x v="0"/>
    <x v="2"/>
    <n v="57"/>
  </r>
  <r>
    <x v="1"/>
    <x v="9"/>
    <n v="64583"/>
    <n v="6.0299999999999999E-2"/>
    <n v="1366"/>
    <n v="3.04E-2"/>
    <n v="2805"/>
    <n v="8.8999999999999999E-3"/>
    <n v="183"/>
    <n v="5.57E-2"/>
    <n v="60"/>
    <n v="5.0000000000000001E-4"/>
    <n v="19451"/>
    <n v="19431"/>
    <n v="20"/>
    <n v="1E-3"/>
    <n v="241584"/>
    <n v="68997"/>
    <n v="0.49"/>
    <x v="0"/>
    <x v="0"/>
    <x v="2"/>
    <n v="73"/>
  </r>
  <r>
    <x v="2"/>
    <x v="9"/>
    <n v="78499"/>
    <n v="6.4899999999999999E-2"/>
    <n v="3041"/>
    <n v="3.9699999999999999E-2"/>
    <n v="6573"/>
    <n v="1.8700000000000001E-2"/>
    <n v="106"/>
    <n v="2.52E-2"/>
    <n v="398"/>
    <n v="2.2000000000000001E-3"/>
    <n v="21464"/>
    <n v="21382"/>
    <n v="82"/>
    <n v="3.8E-3"/>
    <n v="272451"/>
    <n v="88617"/>
    <n v="0.46"/>
    <x v="0"/>
    <x v="0"/>
    <x v="2"/>
    <n v="78"/>
  </r>
  <r>
    <x v="3"/>
    <x v="9"/>
    <n v="33936"/>
    <n v="5.5800000000000002E-2"/>
    <n v="2575"/>
    <n v="6.4000000000000001E-2"/>
    <n v="8508"/>
    <n v="4.8000000000000001E-2"/>
    <n v="387"/>
    <n v="0.18010000000000001"/>
    <n v="237"/>
    <n v="3.3E-3"/>
    <n v="24829"/>
    <n v="24544"/>
    <n v="285"/>
    <n v="1.0999999999999999E-2"/>
    <n v="0"/>
    <n v="45643"/>
    <n v="0.3"/>
    <x v="0"/>
    <x v="1"/>
    <x v="2"/>
    <n v="60"/>
  </r>
  <r>
    <x v="0"/>
    <x v="10"/>
    <n v="3788"/>
    <n v="1.04E-2"/>
    <n v="4807"/>
    <n v="0.43020000000000003"/>
    <n v="60"/>
    <n v="2.9999999999999997E-4"/>
    <n v="0"/>
    <n v="0"/>
    <n v="6"/>
    <n v="1E-4"/>
    <n v="10982"/>
    <n v="10982"/>
    <n v="0"/>
    <n v="0"/>
    <n v="224587"/>
    <n v="8661"/>
    <n v="80.12"/>
    <x v="3"/>
    <x v="0"/>
    <x v="1"/>
    <n v="51"/>
  </r>
  <r>
    <x v="1"/>
    <x v="10"/>
    <n v="11698"/>
    <n v="2.9100000000000001E-2"/>
    <n v="13321"/>
    <n v="0.52690000000000003"/>
    <n v="831"/>
    <n v="3.8E-3"/>
    <n v="0"/>
    <n v="0"/>
    <n v="9"/>
    <n v="1E-4"/>
    <n v="12120"/>
    <n v="12120"/>
    <n v="0"/>
    <n v="0"/>
    <n v="264729"/>
    <n v="25859"/>
    <n v="16.03"/>
    <x v="3"/>
    <x v="0"/>
    <x v="1"/>
    <n v="62"/>
  </r>
  <r>
    <x v="2"/>
    <x v="10"/>
    <n v="7432"/>
    <n v="1.7100000000000001E-2"/>
    <n v="20321"/>
    <n v="0.52629999999999999"/>
    <n v="2656"/>
    <n v="1.03E-2"/>
    <n v="0"/>
    <n v="0"/>
    <n v="80"/>
    <n v="8.0000000000000004E-4"/>
    <n v="12768"/>
    <n v="12768"/>
    <n v="0"/>
    <n v="0"/>
    <n v="296592"/>
    <n v="30489"/>
    <n v="7.65"/>
    <x v="3"/>
    <x v="0"/>
    <x v="1"/>
    <n v="80"/>
  </r>
  <r>
    <x v="3"/>
    <x v="10"/>
    <n v="6077"/>
    <n v="2.5399999999999999E-2"/>
    <n v="7198"/>
    <n v="0.56489999999999996"/>
    <n v="769"/>
    <n v="5.1000000000000004E-3"/>
    <n v="75"/>
    <n v="2.4500000000000001E-2"/>
    <n v="570"/>
    <n v="9.1999999999999998E-3"/>
    <n v="13088"/>
    <n v="12844"/>
    <n v="244"/>
    <n v="1.9E-2"/>
    <n v="325759"/>
    <n v="14689"/>
    <n v="9.36"/>
    <x v="3"/>
    <x v="0"/>
    <x v="2"/>
    <n v="69"/>
  </r>
  <r>
    <x v="0"/>
    <x v="11"/>
    <n v="304"/>
    <n v="5.1000000000000004E-3"/>
    <n v="11"/>
    <n v="6.25E-2"/>
    <n v="12"/>
    <n v="2.9999999999999997E-4"/>
    <n v="0"/>
    <n v="0"/>
    <n v="0"/>
    <n v="0"/>
    <n v="1932"/>
    <n v="1932"/>
    <n v="0"/>
    <n v="0"/>
    <n v="173152"/>
    <n v="327"/>
    <n v="0.92"/>
    <x v="0"/>
    <x v="2"/>
    <x v="1"/>
    <n v="47"/>
  </r>
  <r>
    <x v="1"/>
    <x v="11"/>
    <n v="945"/>
    <n v="1.5100000000000001E-2"/>
    <n v="18"/>
    <n v="5.6599999999999998E-2"/>
    <n v="43"/>
    <n v="1E-3"/>
    <n v="0"/>
    <n v="0"/>
    <n v="2"/>
    <n v="2.0000000000000001E-4"/>
    <n v="2030"/>
    <n v="2030"/>
    <n v="0"/>
    <n v="0"/>
    <n v="195795"/>
    <n v="1008"/>
    <n v="0.42"/>
    <x v="0"/>
    <x v="2"/>
    <x v="1"/>
    <n v="51"/>
  </r>
  <r>
    <x v="2"/>
    <x v="11"/>
    <n v="887"/>
    <n v="1.34E-2"/>
    <n v="39"/>
    <n v="9.3299999999999994E-2"/>
    <n v="152"/>
    <n v="3.2000000000000002E-3"/>
    <n v="35"/>
    <n v="3.5999999999999997E-2"/>
    <n v="13"/>
    <n v="1E-3"/>
    <n v="2071"/>
    <n v="2071"/>
    <n v="0"/>
    <n v="0"/>
    <n v="218788"/>
    <n v="1126"/>
    <n v="0.26"/>
    <x v="0"/>
    <x v="0"/>
    <x v="1"/>
    <n v="58"/>
  </r>
  <r>
    <x v="3"/>
    <x v="11"/>
    <n v="486"/>
    <n v="1.47E-2"/>
    <n v="32"/>
    <n v="0.4"/>
    <n v="336"/>
    <n v="1.17E-2"/>
    <n v="0"/>
    <n v="0"/>
    <n v="22"/>
    <n v="3.2000000000000002E-3"/>
    <n v="2181"/>
    <n v="2181"/>
    <n v="0"/>
    <n v="0"/>
    <n v="235199"/>
    <n v="876"/>
    <n v="0.1"/>
    <x v="0"/>
    <x v="0"/>
    <x v="1"/>
    <n v="76"/>
  </r>
  <r>
    <x v="0"/>
    <x v="12"/>
    <n v="1130"/>
    <n v="1.3899999999999999E-2"/>
    <n v="11"/>
    <n v="2.8E-3"/>
    <n v="5"/>
    <n v="1E-4"/>
    <n v="0"/>
    <n v="0"/>
    <n v="0"/>
    <n v="0"/>
    <n v="3280"/>
    <n v="2680"/>
    <n v="600"/>
    <n v="0.18290000000000001"/>
    <n v="101645"/>
    <n v="1146"/>
    <n v="2.2000000000000002"/>
    <x v="1"/>
    <x v="2"/>
    <x v="0"/>
    <n v="36"/>
  </r>
  <r>
    <x v="1"/>
    <x v="12"/>
    <n v="2132"/>
    <n v="2.5399999999999999E-2"/>
    <n v="2508"/>
    <n v="0.38690000000000002"/>
    <n v="48"/>
    <n v="8.9999999999999998E-4"/>
    <n v="2"/>
    <n v="3.0999999999999999E-3"/>
    <n v="0"/>
    <n v="0"/>
    <n v="3076"/>
    <n v="2826"/>
    <n v="250"/>
    <n v="8.1299999999999997E-2"/>
    <n v="112898"/>
    <n v="4690"/>
    <n v="52.25"/>
    <x v="3"/>
    <x v="2"/>
    <x v="0"/>
    <n v="42"/>
  </r>
  <r>
    <x v="2"/>
    <x v="12"/>
    <n v="1828"/>
    <n v="2.1600000000000001E-2"/>
    <n v="7599"/>
    <n v="0.66590000000000005"/>
    <n v="143"/>
    <n v="2.5999999999999999E-3"/>
    <n v="150"/>
    <n v="8.6499999999999994E-2"/>
    <n v="0"/>
    <n v="0"/>
    <n v="3137"/>
    <n v="2967"/>
    <n v="170"/>
    <n v="5.4199999999999998E-2"/>
    <n v="130492"/>
    <n v="9720"/>
    <n v="53.14"/>
    <x v="3"/>
    <x v="2"/>
    <x v="0"/>
    <n v="48"/>
  </r>
  <r>
    <x v="3"/>
    <x v="12"/>
    <n v="1633"/>
    <n v="3.6700000000000003E-2"/>
    <n v="4320"/>
    <n v="0.65390000000000004"/>
    <n v="304"/>
    <n v="9.7999999999999997E-3"/>
    <n v="0"/>
    <n v="0"/>
    <n v="20"/>
    <n v="2.7000000000000001E-3"/>
    <n v="3181"/>
    <n v="3133"/>
    <n v="48"/>
    <n v="1.4999999999999999E-2"/>
    <n v="142138"/>
    <n v="6277"/>
    <n v="14.21"/>
    <x v="3"/>
    <x v="2"/>
    <x v="2"/>
    <n v="68"/>
  </r>
  <r>
    <x v="0"/>
    <x v="13"/>
    <n v="1672"/>
    <n v="4.4000000000000003E-3"/>
    <n v="2019"/>
    <n v="0.20219999999999999"/>
    <n v="48"/>
    <n v="8.0000000000000004E-4"/>
    <n v="0"/>
    <n v="0"/>
    <n v="2"/>
    <n v="1E-4"/>
    <n v="1651"/>
    <n v="1527"/>
    <n v="124"/>
    <n v="7.51E-2"/>
    <n v="69963"/>
    <n v="3741"/>
    <n v="42.06"/>
    <x v="3"/>
    <x v="1"/>
    <x v="0"/>
    <n v="39"/>
  </r>
  <r>
    <x v="1"/>
    <x v="13"/>
    <n v="6730"/>
    <n v="1.7000000000000001E-2"/>
    <n v="6794"/>
    <n v="0.43969999999999998"/>
    <n v="157"/>
    <n v="2.8999999999999998E-3"/>
    <n v="0"/>
    <n v="0"/>
    <n v="0"/>
    <n v="0"/>
    <n v="1887"/>
    <n v="1611"/>
    <n v="276"/>
    <n v="0.14630000000000001"/>
    <n v="88500"/>
    <n v="13681"/>
    <n v="43.27"/>
    <x v="3"/>
    <x v="1"/>
    <x v="0"/>
    <n v="43"/>
  </r>
  <r>
    <x v="2"/>
    <x v="13"/>
    <n v="7400"/>
    <n v="1.7100000000000001E-2"/>
    <n v="13225"/>
    <n v="0.57869999999999999"/>
    <n v="452"/>
    <n v="8.0999999999999996E-3"/>
    <n v="2"/>
    <n v="1.6000000000000001E-3"/>
    <n v="18"/>
    <n v="5.9999999999999995E-4"/>
    <n v="2253"/>
    <n v="1918"/>
    <n v="336"/>
    <n v="0.1489"/>
    <n v="96449"/>
    <n v="21097"/>
    <n v="29.26"/>
    <x v="3"/>
    <x v="1"/>
    <x v="0"/>
    <n v="56"/>
  </r>
  <r>
    <x v="3"/>
    <x v="13"/>
    <n v="6016"/>
    <n v="2.53E-2"/>
    <n v="9830"/>
    <n v="0.67759999999999998"/>
    <n v="409"/>
    <n v="1.2E-2"/>
    <n v="2"/>
    <n v="3.7000000000000002E-3"/>
    <n v="76"/>
    <n v="4.5999999999999999E-3"/>
    <n v="2193"/>
    <n v="2020"/>
    <n v="173"/>
    <n v="7.9000000000000001E-2"/>
    <n v="105274"/>
    <n v="16333"/>
    <n v="24.03"/>
    <x v="3"/>
    <x v="2"/>
    <x v="0"/>
    <n v="64"/>
  </r>
  <r>
    <x v="0"/>
    <x v="14"/>
    <n v="29612"/>
    <n v="3.5900000000000001E-2"/>
    <n v="2146"/>
    <n v="0.1195"/>
    <n v="1487"/>
    <n v="7.0000000000000001E-3"/>
    <n v="27"/>
    <n v="2.63E-2"/>
    <n v="42"/>
    <n v="2.9999999999999997E-4"/>
    <n v="14367"/>
    <n v="14367"/>
    <n v="0"/>
    <n v="0"/>
    <n v="221781"/>
    <n v="33314"/>
    <n v="1.44"/>
    <x v="0"/>
    <x v="0"/>
    <x v="1"/>
    <n v="67"/>
  </r>
  <r>
    <x v="1"/>
    <x v="14"/>
    <n v="86916"/>
    <n v="8.1000000000000003E-2"/>
    <n v="4305"/>
    <n v="0.1396"/>
    <n v="4331"/>
    <n v="1.61E-2"/>
    <n v="364"/>
    <n v="7.9699999999999993E-2"/>
    <n v="18"/>
    <n v="1E-4"/>
    <n v="14830"/>
    <n v="14818"/>
    <n v="12"/>
    <n v="8.0000000000000004E-4"/>
    <n v="266866"/>
    <n v="95934"/>
    <n v="0.99"/>
    <x v="0"/>
    <x v="0"/>
    <x v="2"/>
    <n v="78"/>
  </r>
  <r>
    <x v="2"/>
    <x v="14"/>
    <n v="133640"/>
    <n v="0.1096"/>
    <n v="5437"/>
    <n v="9.1800000000000007E-2"/>
    <n v="11658"/>
    <n v="3.9399999999999998E-2"/>
    <n v="280"/>
    <n v="4.24E-2"/>
    <n v="257"/>
    <n v="1.6999999999999999E-3"/>
    <n v="15828"/>
    <n v="15828"/>
    <n v="0"/>
    <n v="0"/>
    <n v="304474"/>
    <n v="151272"/>
    <n v="0.47"/>
    <x v="0"/>
    <x v="0"/>
    <x v="1"/>
    <n v="80"/>
  </r>
  <r>
    <x v="3"/>
    <x v="14"/>
    <n v="97894"/>
    <n v="0.1527"/>
    <n v="4175"/>
    <n v="0.13220000000000001"/>
    <n v="11642"/>
    <n v="7.3700000000000002E-2"/>
    <n v="40"/>
    <n v="1.17E-2"/>
    <n v="904"/>
    <n v="1.18E-2"/>
    <n v="17212"/>
    <n v="17212"/>
    <n v="0"/>
    <n v="0"/>
    <n v="332926"/>
    <n v="114655"/>
    <n v="0.36"/>
    <x v="0"/>
    <x v="0"/>
    <x v="1"/>
    <n v="82"/>
  </r>
  <r>
    <x v="0"/>
    <x v="15"/>
    <n v="5879"/>
    <n v="1.14E-2"/>
    <n v="1276"/>
    <n v="9.64E-2"/>
    <n v="1644"/>
    <n v="7.7999999999999996E-3"/>
    <n v="0"/>
    <n v="0"/>
    <n v="2"/>
    <n v="1E-4"/>
    <n v="4275"/>
    <n v="4269"/>
    <n v="6"/>
    <n v="1.4E-3"/>
    <n v="194432"/>
    <n v="8801"/>
    <n v="0.78"/>
    <x v="0"/>
    <x v="2"/>
    <x v="2"/>
    <n v="67"/>
  </r>
  <r>
    <x v="1"/>
    <x v="15"/>
    <n v="33437"/>
    <n v="6.2899999999999998E-2"/>
    <n v="2367"/>
    <n v="0.1217"/>
    <n v="3821"/>
    <n v="1.9E-2"/>
    <n v="40"/>
    <n v="1.6899999999999998E-2"/>
    <n v="6"/>
    <n v="2.0000000000000001E-4"/>
    <n v="4374"/>
    <n v="4364"/>
    <n v="10"/>
    <n v="2.3E-3"/>
    <n v="230280"/>
    <n v="39671"/>
    <n v="0.62"/>
    <x v="0"/>
    <x v="0"/>
    <x v="2"/>
    <n v="75"/>
  </r>
  <r>
    <x v="2"/>
    <x v="15"/>
    <n v="61528"/>
    <n v="0.1258"/>
    <n v="4070"/>
    <n v="0.12429999999999999"/>
    <n v="8988"/>
    <n v="4.7399999999999998E-2"/>
    <n v="70"/>
    <n v="1.44E-2"/>
    <n v="58"/>
    <n v="2.0999999999999999E-3"/>
    <n v="4699"/>
    <n v="4370"/>
    <n v="329"/>
    <n v="7.0000000000000007E-2"/>
    <n v="252662"/>
    <n v="74714"/>
    <n v="0.45"/>
    <x v="0"/>
    <x v="0"/>
    <x v="0"/>
    <n v="74"/>
  </r>
  <r>
    <x v="3"/>
    <x v="15"/>
    <n v="42451"/>
    <n v="0.15709999999999999"/>
    <n v="4091"/>
    <n v="0.22950000000000001"/>
    <n v="6849"/>
    <n v="7.5999999999999998E-2"/>
    <n v="3"/>
    <n v="1.1000000000000001E-3"/>
    <n v="320"/>
    <n v="2.2100000000000002E-2"/>
    <n v="5284"/>
    <n v="5284"/>
    <n v="0"/>
    <n v="0"/>
    <n v="281001"/>
    <n v="53714"/>
    <n v="0.6"/>
    <x v="0"/>
    <x v="0"/>
    <x v="1"/>
    <n v="79"/>
  </r>
  <r>
    <x v="0"/>
    <x v="16"/>
    <n v="5102"/>
    <n v="5.7999999999999996E-3"/>
    <n v="5133"/>
    <n v="0.35599999999999998"/>
    <n v="192"/>
    <n v="1.5E-3"/>
    <n v="0"/>
    <n v="0"/>
    <n v="0"/>
    <n v="0"/>
    <n v="15756"/>
    <n v="15668"/>
    <n v="88"/>
    <n v="5.5999999999999999E-3"/>
    <n v="102007"/>
    <n v="10427"/>
    <n v="26.73"/>
    <x v="3"/>
    <x v="2"/>
    <x v="2"/>
    <n v="45"/>
  </r>
  <r>
    <x v="1"/>
    <x v="16"/>
    <n v="22418"/>
    <n v="2.1600000000000001E-2"/>
    <n v="13825"/>
    <n v="0.49809999999999999"/>
    <n v="534"/>
    <n v="3.3999999999999998E-3"/>
    <n v="20"/>
    <n v="6.7999999999999996E-3"/>
    <n v="0"/>
    <n v="0"/>
    <n v="15917"/>
    <n v="15917"/>
    <n v="0"/>
    <n v="0"/>
    <n v="116689"/>
    <n v="36797"/>
    <n v="25.89"/>
    <x v="3"/>
    <x v="2"/>
    <x v="1"/>
    <n v="51"/>
  </r>
  <r>
    <x v="2"/>
    <x v="16"/>
    <n v="36226"/>
    <n v="3.27E-2"/>
    <n v="29292"/>
    <n v="0.58340000000000003"/>
    <n v="1460"/>
    <n v="9.1999999999999998E-3"/>
    <n v="15"/>
    <n v="4.1999999999999997E-3"/>
    <n v="58"/>
    <n v="4.0000000000000002E-4"/>
    <n v="17347"/>
    <n v="17238"/>
    <n v="109"/>
    <n v="6.3E-3"/>
    <n v="132010"/>
    <n v="67051"/>
    <n v="20.059999999999999"/>
    <x v="3"/>
    <x v="2"/>
    <x v="2"/>
    <n v="67"/>
  </r>
  <r>
    <x v="3"/>
    <x v="16"/>
    <n v="56522"/>
    <n v="0.1036"/>
    <n v="14558"/>
    <n v="0.63490000000000002"/>
    <n v="2528"/>
    <n v="2.35E-2"/>
    <n v="2"/>
    <n v="8.9999999999999998E-4"/>
    <n v="294"/>
    <n v="4.0000000000000001E-3"/>
    <n v="18252"/>
    <n v="17817"/>
    <n v="435"/>
    <n v="2.4E-2"/>
    <n v="142565"/>
    <n v="73904"/>
    <n v="5.76"/>
    <x v="3"/>
    <x v="2"/>
    <x v="2"/>
    <n v="69"/>
  </r>
  <r>
    <x v="0"/>
    <x v="17"/>
    <n v="23674"/>
    <n v="1.78E-2"/>
    <n v="1938"/>
    <n v="6.5100000000000005E-2"/>
    <n v="3740"/>
    <n v="1.06E-2"/>
    <n v="552"/>
    <n v="0.33700000000000002"/>
    <n v="3"/>
    <n v="0"/>
    <n v="25576"/>
    <n v="25513"/>
    <n v="63"/>
    <n v="2.5000000000000001E-3"/>
    <n v="182454"/>
    <n v="29907"/>
    <n v="0.52"/>
    <x v="0"/>
    <x v="2"/>
    <x v="2"/>
    <n v="72"/>
  </r>
  <r>
    <x v="1"/>
    <x v="17"/>
    <n v="117557"/>
    <n v="7.1599999999999997E-2"/>
    <n v="6427"/>
    <n v="0.13750000000000001"/>
    <n v="11692"/>
    <n v="2.6700000000000002E-2"/>
    <n v="336"/>
    <n v="7.7299999999999994E-2"/>
    <n v="24"/>
    <n v="1E-4"/>
    <n v="28075"/>
    <n v="28016"/>
    <n v="59"/>
    <n v="2.0999999999999999E-3"/>
    <n v="219573"/>
    <n v="136036"/>
    <n v="0.55000000000000004"/>
    <x v="0"/>
    <x v="0"/>
    <x v="2"/>
    <n v="75"/>
  </r>
  <r>
    <x v="2"/>
    <x v="17"/>
    <n v="167773"/>
    <n v="9.4399999999999998E-2"/>
    <n v="11523"/>
    <n v="0.14899999999999999"/>
    <n v="13750"/>
    <n v="2.92E-2"/>
    <n v="451"/>
    <n v="4.6100000000000002E-2"/>
    <n v="438"/>
    <n v="1.9E-3"/>
    <n v="30935"/>
    <n v="28846"/>
    <n v="2089"/>
    <n v="6.7500000000000004E-2"/>
    <n v="252389"/>
    <n v="193935"/>
    <n v="0.84"/>
    <x v="0"/>
    <x v="0"/>
    <x v="0"/>
    <n v="74"/>
  </r>
  <r>
    <x v="3"/>
    <x v="17"/>
    <n v="117238"/>
    <n v="0.11020000000000001"/>
    <n v="5081"/>
    <n v="0.13900000000000001"/>
    <n v="16893"/>
    <n v="6.3600000000000004E-2"/>
    <n v="252"/>
    <n v="4.58E-2"/>
    <n v="2179"/>
    <n v="1.7899999999999999E-2"/>
    <n v="31178"/>
    <n v="27996"/>
    <n v="3182"/>
    <n v="0.10199999999999999"/>
    <n v="277603"/>
    <n v="141643"/>
    <n v="0.3"/>
    <x v="0"/>
    <x v="0"/>
    <x v="0"/>
    <n v="75"/>
  </r>
  <r>
    <x v="0"/>
    <x v="18"/>
    <n v="20"/>
    <n v="8.0000000000000004E-4"/>
    <n v="94"/>
    <n v="0.1731"/>
    <n v="0"/>
    <n v="0"/>
    <n v="0"/>
    <n v="0"/>
    <n v="0"/>
    <n v="0"/>
    <n v="252"/>
    <n v="249"/>
    <n v="3"/>
    <n v="1.1900000000000001E-2"/>
    <n v="75784"/>
    <n v="114"/>
    <m/>
    <x v="2"/>
    <x v="1"/>
    <x v="2"/>
    <n v="40"/>
  </r>
  <r>
    <x v="1"/>
    <x v="18"/>
    <n v="125"/>
    <n v="3.0000000000000001E-3"/>
    <n v="215"/>
    <n v="0.23730000000000001"/>
    <n v="1"/>
    <n v="1E-4"/>
    <n v="0"/>
    <n v="0"/>
    <n v="0"/>
    <n v="0"/>
    <n v="258"/>
    <n v="258"/>
    <n v="0"/>
    <n v="0"/>
    <n v="98826"/>
    <n v="341"/>
    <n v="100"/>
    <x v="3"/>
    <x v="1"/>
    <x v="1"/>
    <n v="42"/>
  </r>
  <r>
    <x v="2"/>
    <x v="18"/>
    <n v="89"/>
    <n v="4.4999999999999997E-3"/>
    <n v="280"/>
    <n v="0.4173"/>
    <n v="30"/>
    <n v="5.8999999999999999E-3"/>
    <n v="0"/>
    <n v="0"/>
    <n v="0"/>
    <n v="0"/>
    <n v="248"/>
    <n v="248"/>
    <n v="0"/>
    <n v="0"/>
    <n v="111853"/>
    <n v="399"/>
    <n v="9.33"/>
    <x v="3"/>
    <x v="2"/>
    <x v="1"/>
    <n v="57"/>
  </r>
  <r>
    <x v="3"/>
    <x v="18"/>
    <n v="326"/>
    <n v="2.3699999999999999E-2"/>
    <n v="542"/>
    <n v="0.77429999999999999"/>
    <n v="66"/>
    <n v="2.0299999999999999E-2"/>
    <n v="0"/>
    <n v="0"/>
    <n v="0"/>
    <n v="0"/>
    <n v="258"/>
    <n v="248"/>
    <n v="10"/>
    <n v="3.7999999999999999E-2"/>
    <n v="0"/>
    <n v="934"/>
    <n v="8.2100000000000009"/>
    <x v="3"/>
    <x v="1"/>
    <x v="2"/>
    <n v="59"/>
  </r>
  <r>
    <x v="0"/>
    <x v="19"/>
    <n v="0"/>
    <n v="0"/>
    <n v="2"/>
    <n v="5.3E-3"/>
    <n v="3"/>
    <n v="2.9999999999999997E-4"/>
    <n v="0"/>
    <n v="0"/>
    <n v="0"/>
    <n v="0"/>
    <n v="384"/>
    <n v="384"/>
    <n v="0"/>
    <n v="0"/>
    <n v="90751"/>
    <n v="5"/>
    <n v="0.67"/>
    <x v="0"/>
    <x v="1"/>
    <x v="1"/>
    <n v="42"/>
  </r>
  <r>
    <x v="1"/>
    <x v="19"/>
    <n v="22"/>
    <n v="1.2999999999999999E-3"/>
    <n v="9"/>
    <n v="1.9300000000000001E-2"/>
    <n v="11"/>
    <n v="8.9999999999999998E-4"/>
    <n v="0"/>
    <n v="0"/>
    <n v="0"/>
    <n v="0"/>
    <n v="408"/>
    <n v="408"/>
    <n v="0"/>
    <n v="0"/>
    <n v="107971"/>
    <n v="42"/>
    <n v="0.82"/>
    <x v="0"/>
    <x v="2"/>
    <x v="1"/>
    <n v="44"/>
  </r>
  <r>
    <x v="2"/>
    <x v="19"/>
    <n v="72"/>
    <n v="3.3999999999999998E-3"/>
    <n v="19"/>
    <n v="2.53E-2"/>
    <n v="20"/>
    <n v="1.4E-3"/>
    <n v="0"/>
    <n v="0"/>
    <n v="2"/>
    <n v="5.0000000000000001E-4"/>
    <n v="404"/>
    <n v="404"/>
    <n v="0"/>
    <n v="2.9999999999999997E-4"/>
    <n v="123896"/>
    <n v="113"/>
    <n v="0.95"/>
    <x v="0"/>
    <x v="2"/>
    <x v="2"/>
    <n v="47"/>
  </r>
  <r>
    <x v="3"/>
    <x v="19"/>
    <n v="65"/>
    <n v="6.0000000000000001E-3"/>
    <n v="277"/>
    <n v="0.49640000000000001"/>
    <n v="55"/>
    <n v="8.9999999999999993E-3"/>
    <n v="0"/>
    <n v="0"/>
    <n v="4"/>
    <n v="2.8E-3"/>
    <n v="405"/>
    <n v="405"/>
    <n v="0"/>
    <n v="0"/>
    <n v="136948"/>
    <n v="401"/>
    <n v="5.04"/>
    <x v="3"/>
    <x v="2"/>
    <x v="1"/>
    <n v="67"/>
  </r>
  <r>
    <x v="0"/>
    <x v="20"/>
    <n v="0"/>
    <n v="0"/>
    <n v="0"/>
    <n v="0"/>
    <n v="0"/>
    <n v="0"/>
    <n v="0"/>
    <n v="0"/>
    <n v="0"/>
    <n v="0"/>
    <n v="132"/>
    <n v="132"/>
    <n v="0"/>
    <n v="0"/>
    <n v="173521"/>
    <n v="0"/>
    <m/>
    <x v="2"/>
    <x v="2"/>
    <x v="1"/>
    <n v="47"/>
  </r>
  <r>
    <x v="1"/>
    <x v="20"/>
    <n v="36"/>
    <n v="1.8E-3"/>
    <n v="0"/>
    <n v="0"/>
    <n v="0"/>
    <n v="0"/>
    <n v="0"/>
    <n v="0"/>
    <n v="0"/>
    <n v="0"/>
    <n v="169"/>
    <n v="156"/>
    <n v="13"/>
    <n v="7.6899999999999996E-2"/>
    <n v="190965"/>
    <n v="36"/>
    <m/>
    <x v="2"/>
    <x v="2"/>
    <x v="0"/>
    <n v="45"/>
  </r>
  <r>
    <x v="2"/>
    <x v="20"/>
    <n v="166"/>
    <n v="7.9000000000000008E-3"/>
    <n v="0"/>
    <n v="0"/>
    <n v="0"/>
    <n v="0"/>
    <n v="0"/>
    <n v="0"/>
    <n v="0"/>
    <n v="0"/>
    <n v="159"/>
    <n v="159"/>
    <n v="0"/>
    <n v="0"/>
    <n v="215144"/>
    <n v="166"/>
    <m/>
    <x v="2"/>
    <x v="0"/>
    <x v="1"/>
    <n v="49"/>
  </r>
  <r>
    <x v="3"/>
    <x v="20"/>
    <n v="506"/>
    <n v="4.4999999999999998E-2"/>
    <n v="0"/>
    <n v="0"/>
    <n v="10"/>
    <n v="4.7000000000000002E-3"/>
    <n v="0"/>
    <n v="0"/>
    <n v="0"/>
    <n v="0"/>
    <n v="162"/>
    <n v="162"/>
    <n v="0"/>
    <n v="0"/>
    <n v="0"/>
    <n v="516"/>
    <n v="0"/>
    <x v="0"/>
    <x v="1"/>
    <x v="1"/>
    <n v="47"/>
  </r>
  <r>
    <x v="0"/>
    <x v="21"/>
    <n v="2"/>
    <n v="2.9999999999999997E-4"/>
    <n v="0"/>
    <n v="0"/>
    <n v="0"/>
    <n v="0"/>
    <n v="0"/>
    <n v="0"/>
    <n v="0"/>
    <n v="0"/>
    <n v="160"/>
    <n v="155"/>
    <n v="5"/>
    <n v="3.1199999999999999E-2"/>
    <n v="119781"/>
    <n v="2"/>
    <m/>
    <x v="2"/>
    <x v="2"/>
    <x v="2"/>
    <n v="42"/>
  </r>
  <r>
    <x v="1"/>
    <x v="21"/>
    <n v="3"/>
    <n v="5.0000000000000001E-4"/>
    <n v="0"/>
    <n v="0"/>
    <n v="0"/>
    <n v="0"/>
    <n v="0"/>
    <n v="0"/>
    <n v="0"/>
    <n v="0"/>
    <n v="173"/>
    <n v="153"/>
    <n v="20"/>
    <n v="0.11559999999999999"/>
    <n v="127225"/>
    <n v="3"/>
    <m/>
    <x v="2"/>
    <x v="2"/>
    <x v="0"/>
    <n v="39"/>
  </r>
  <r>
    <x v="2"/>
    <x v="21"/>
    <n v="3"/>
    <n v="5.0000000000000001E-4"/>
    <n v="0"/>
    <n v="0"/>
    <n v="3"/>
    <n v="2.9999999999999997E-4"/>
    <n v="0"/>
    <n v="0"/>
    <n v="0"/>
    <n v="0"/>
    <n v="168"/>
    <n v="167"/>
    <n v="1"/>
    <n v="4.7999999999999996E-3"/>
    <n v="145537"/>
    <n v="6"/>
    <n v="0"/>
    <x v="0"/>
    <x v="2"/>
    <x v="2"/>
    <n v="45"/>
  </r>
  <r>
    <x v="3"/>
    <x v="21"/>
    <n v="7"/>
    <n v="2.3E-3"/>
    <n v="0"/>
    <n v="0"/>
    <n v="8"/>
    <n v="2E-3"/>
    <n v="0"/>
    <n v="0"/>
    <n v="0"/>
    <n v="0"/>
    <n v="174"/>
    <n v="174"/>
    <n v="0"/>
    <n v="1E-3"/>
    <n v="0"/>
    <n v="15"/>
    <n v="0"/>
    <x v="0"/>
    <x v="1"/>
    <x v="2"/>
    <n v="40"/>
  </r>
  <r>
    <x v="0"/>
    <x v="22"/>
    <n v="4944"/>
    <n v="1.1599999999999999E-2"/>
    <n v="623"/>
    <n v="8.4599999999999995E-2"/>
    <n v="60"/>
    <n v="1E-3"/>
    <n v="0"/>
    <n v="0"/>
    <n v="0"/>
    <n v="0"/>
    <n v="4984"/>
    <n v="4984"/>
    <n v="1"/>
    <n v="2.0000000000000001E-4"/>
    <n v="103211"/>
    <n v="5627"/>
    <n v="10.38"/>
    <x v="3"/>
    <x v="2"/>
    <x v="2"/>
    <n v="44"/>
  </r>
  <r>
    <x v="1"/>
    <x v="22"/>
    <n v="25721"/>
    <n v="5.0900000000000001E-2"/>
    <n v="2253"/>
    <n v="0.20699999999999999"/>
    <n v="438"/>
    <n v="6.1999999999999998E-3"/>
    <n v="30"/>
    <n v="1.9400000000000001E-2"/>
    <n v="2"/>
    <n v="0"/>
    <n v="5643"/>
    <n v="5643"/>
    <n v="0"/>
    <n v="0"/>
    <n v="134091"/>
    <n v="28444"/>
    <n v="5.14"/>
    <x v="3"/>
    <x v="2"/>
    <x v="1"/>
    <n v="59"/>
  </r>
  <r>
    <x v="2"/>
    <x v="22"/>
    <n v="38351"/>
    <n v="6.5500000000000003E-2"/>
    <n v="4767"/>
    <n v="0.24979999999999999"/>
    <n v="1337"/>
    <n v="1.7500000000000002E-2"/>
    <n v="21"/>
    <n v="7.4000000000000003E-3"/>
    <n v="76"/>
    <n v="1.2999999999999999E-3"/>
    <n v="6566"/>
    <n v="6391"/>
    <n v="175"/>
    <n v="2.6700000000000002E-2"/>
    <n v="143768"/>
    <n v="44552"/>
    <n v="3.57"/>
    <x v="1"/>
    <x v="2"/>
    <x v="2"/>
    <n v="69"/>
  </r>
  <r>
    <x v="3"/>
    <x v="22"/>
    <n v="49167"/>
    <n v="0.13789999999999999"/>
    <n v="3442"/>
    <n v="0.25650000000000001"/>
    <n v="3057"/>
    <n v="7.6200000000000004E-2"/>
    <n v="86"/>
    <n v="5.8799999999999998E-2"/>
    <n v="444"/>
    <n v="1.5699999999999999E-2"/>
    <n v="6443"/>
    <n v="6443"/>
    <n v="0"/>
    <n v="0"/>
    <n v="163101"/>
    <n v="56196"/>
    <n v="1.1299999999999999"/>
    <x v="0"/>
    <x v="2"/>
    <x v="1"/>
    <n v="71"/>
  </r>
  <r>
    <x v="0"/>
    <x v="23"/>
    <n v="392"/>
    <n v="1.06E-2"/>
    <n v="4"/>
    <n v="4.7100000000000003E-2"/>
    <n v="9"/>
    <n v="1.1999999999999999E-3"/>
    <n v="0"/>
    <n v="0"/>
    <n v="0"/>
    <n v="0"/>
    <n v="429"/>
    <n v="429"/>
    <n v="0"/>
    <n v="0"/>
    <n v="208862"/>
    <n v="405"/>
    <n v="0.44"/>
    <x v="0"/>
    <x v="0"/>
    <x v="1"/>
    <n v="52"/>
  </r>
  <r>
    <x v="1"/>
    <x v="23"/>
    <n v="1410"/>
    <n v="3.4599999999999999E-2"/>
    <n v="25"/>
    <n v="0.26319999999999999"/>
    <n v="44"/>
    <n v="4.8999999999999998E-3"/>
    <n v="0"/>
    <n v="0"/>
    <n v="2"/>
    <n v="3.3999999999999998E-3"/>
    <n v="469"/>
    <n v="467"/>
    <n v="2"/>
    <n v="4.3E-3"/>
    <n v="231557"/>
    <n v="1481"/>
    <n v="0.56999999999999995"/>
    <x v="0"/>
    <x v="0"/>
    <x v="2"/>
    <n v="63"/>
  </r>
  <r>
    <x v="2"/>
    <x v="23"/>
    <n v="2451"/>
    <n v="5.6399999999999999E-2"/>
    <n v="92"/>
    <n v="0.53490000000000004"/>
    <n v="90"/>
    <n v="8.3000000000000001E-3"/>
    <n v="0"/>
    <n v="0"/>
    <n v="4"/>
    <n v="5.5999999999999999E-3"/>
    <n v="501"/>
    <n v="501"/>
    <n v="0"/>
    <n v="0"/>
    <n v="245180"/>
    <n v="2637"/>
    <n v="1.02"/>
    <x v="0"/>
    <x v="0"/>
    <x v="1"/>
    <n v="72"/>
  </r>
  <r>
    <x v="3"/>
    <x v="23"/>
    <n v="2867"/>
    <n v="9.7199999999999995E-2"/>
    <n v="207"/>
    <n v="0.65300000000000002"/>
    <n v="85"/>
    <n v="1.1599999999999999E-2"/>
    <n v="16"/>
    <n v="8.5099999999999995E-2"/>
    <n v="2"/>
    <n v="5.3E-3"/>
    <n v="524"/>
    <n v="524"/>
    <n v="0"/>
    <n v="0"/>
    <n v="262166"/>
    <n v="3177"/>
    <n v="2.44"/>
    <x v="1"/>
    <x v="0"/>
    <x v="1"/>
    <n v="77"/>
  </r>
  <r>
    <x v="0"/>
    <x v="24"/>
    <n v="3271"/>
    <n v="9.1000000000000004E-3"/>
    <n v="1335"/>
    <n v="0.36880000000000002"/>
    <n v="33"/>
    <n v="2.9999999999999997E-4"/>
    <n v="0"/>
    <n v="0"/>
    <n v="4"/>
    <n v="1E-4"/>
    <n v="13148"/>
    <n v="13148"/>
    <n v="0"/>
    <n v="0"/>
    <n v="150620"/>
    <n v="4643"/>
    <n v="40.450000000000003"/>
    <x v="3"/>
    <x v="2"/>
    <x v="1"/>
    <n v="46"/>
  </r>
  <r>
    <x v="1"/>
    <x v="24"/>
    <n v="7610"/>
    <n v="0.02"/>
    <n v="6383"/>
    <n v="0.66520000000000001"/>
    <n v="42"/>
    <n v="2.9999999999999997E-4"/>
    <n v="0"/>
    <n v="0"/>
    <n v="19"/>
    <n v="4.0000000000000002E-4"/>
    <n v="13556"/>
    <n v="13431"/>
    <n v="125"/>
    <n v="9.1999999999999998E-3"/>
    <n v="170276"/>
    <n v="14054"/>
    <n v="100"/>
    <x v="3"/>
    <x v="2"/>
    <x v="2"/>
    <n v="47"/>
  </r>
  <r>
    <x v="2"/>
    <x v="24"/>
    <n v="8753"/>
    <n v="2.0500000000000001E-2"/>
    <n v="16114"/>
    <n v="0.7853"/>
    <n v="780"/>
    <n v="5.5999999999999999E-3"/>
    <n v="0"/>
    <n v="0"/>
    <n v="94"/>
    <n v="1.8E-3"/>
    <n v="14311"/>
    <n v="14311"/>
    <n v="0"/>
    <n v="0"/>
    <n v="181678"/>
    <n v="25741"/>
    <n v="20.66"/>
    <x v="3"/>
    <x v="2"/>
    <x v="1"/>
    <n v="61"/>
  </r>
  <r>
    <x v="3"/>
    <x v="24"/>
    <n v="13453"/>
    <n v="5.9200000000000003E-2"/>
    <n v="6201"/>
    <n v="0.80059999999999998"/>
    <n v="2533"/>
    <n v="2.8000000000000001E-2"/>
    <n v="0"/>
    <n v="0"/>
    <n v="141"/>
    <n v="4.0000000000000001E-3"/>
    <n v="15293"/>
    <n v="15293"/>
    <n v="0"/>
    <n v="0"/>
    <n v="196505"/>
    <n v="22328"/>
    <n v="2.4500000000000002"/>
    <x v="1"/>
    <x v="2"/>
    <x v="1"/>
    <n v="73"/>
  </r>
  <r>
    <x v="0"/>
    <x v="25"/>
    <n v="13960"/>
    <n v="1.84E-2"/>
    <n v="8936"/>
    <n v="0.53939999999999999"/>
    <n v="554"/>
    <n v="3.7000000000000002E-3"/>
    <n v="0"/>
    <n v="0"/>
    <n v="12"/>
    <n v="1E-4"/>
    <n v="14441"/>
    <n v="14441"/>
    <n v="0"/>
    <n v="0"/>
    <n v="114925"/>
    <n v="23462"/>
    <n v="16.13"/>
    <x v="3"/>
    <x v="2"/>
    <x v="1"/>
    <n v="52"/>
  </r>
  <r>
    <x v="1"/>
    <x v="25"/>
    <n v="54132"/>
    <n v="6.0400000000000002E-2"/>
    <n v="22633"/>
    <n v="0.63859999999999995"/>
    <n v="1468"/>
    <n v="8.3000000000000001E-3"/>
    <n v="5"/>
    <n v="2.8E-3"/>
    <n v="2"/>
    <n v="0"/>
    <n v="15784"/>
    <n v="15784"/>
    <n v="0"/>
    <n v="0"/>
    <n v="134060"/>
    <n v="78240"/>
    <n v="15.42"/>
    <x v="3"/>
    <x v="2"/>
    <x v="1"/>
    <n v="65"/>
  </r>
  <r>
    <x v="2"/>
    <x v="25"/>
    <n v="59470"/>
    <n v="5.6300000000000003E-2"/>
    <n v="29732"/>
    <n v="0.60009999999999997"/>
    <n v="4490"/>
    <n v="2.2499999999999999E-2"/>
    <n v="6"/>
    <n v="1.8E-3"/>
    <n v="120"/>
    <n v="5.9999999999999995E-4"/>
    <n v="17399"/>
    <n v="17206"/>
    <n v="193"/>
    <n v="1.11E-2"/>
    <n v="150653"/>
    <n v="93818"/>
    <n v="6.62"/>
    <x v="3"/>
    <x v="2"/>
    <x v="2"/>
    <n v="70"/>
  </r>
  <r>
    <x v="3"/>
    <x v="25"/>
    <n v="42162"/>
    <n v="8.7499999999999994E-2"/>
    <n v="11099"/>
    <n v="0.52170000000000005"/>
    <n v="8451"/>
    <n v="6.6699999999999995E-2"/>
    <n v="7"/>
    <n v="3.3E-3"/>
    <n v="1062"/>
    <n v="1.0200000000000001E-2"/>
    <n v="18128"/>
    <n v="18128"/>
    <n v="0"/>
    <n v="0"/>
    <n v="167964"/>
    <n v="62781"/>
    <n v="1.31"/>
    <x v="0"/>
    <x v="2"/>
    <x v="1"/>
    <n v="71"/>
  </r>
  <r>
    <x v="0"/>
    <x v="26"/>
    <n v="0"/>
    <n v="0"/>
    <n v="0"/>
    <n v="0"/>
    <n v="0"/>
    <n v="0"/>
    <n v="0"/>
    <n v="0"/>
    <n v="0"/>
    <n v="0"/>
    <n v="120"/>
    <n v="120"/>
    <n v="0"/>
    <n v="0"/>
    <n v="415045"/>
    <n v="0"/>
    <m/>
    <x v="2"/>
    <x v="0"/>
    <x v="1"/>
    <n v="63"/>
  </r>
  <r>
    <x v="1"/>
    <x v="26"/>
    <n v="0"/>
    <n v="0"/>
    <n v="0"/>
    <n v="0"/>
    <n v="0"/>
    <n v="0"/>
    <n v="0"/>
    <n v="0"/>
    <n v="0"/>
    <n v="0"/>
    <n v="133"/>
    <n v="133"/>
    <n v="0"/>
    <n v="0"/>
    <n v="466518"/>
    <n v="0"/>
    <m/>
    <x v="2"/>
    <x v="0"/>
    <x v="1"/>
    <n v="66"/>
  </r>
  <r>
    <x v="2"/>
    <x v="26"/>
    <n v="0"/>
    <n v="0"/>
    <n v="0"/>
    <n v="0"/>
    <n v="0"/>
    <n v="0"/>
    <n v="0"/>
    <n v="0"/>
    <n v="0"/>
    <n v="0"/>
    <n v="124"/>
    <n v="124"/>
    <n v="0"/>
    <n v="0"/>
    <n v="520466"/>
    <n v="0"/>
    <m/>
    <x v="2"/>
    <x v="0"/>
    <x v="1"/>
    <n v="70"/>
  </r>
  <r>
    <x v="3"/>
    <x v="26"/>
    <n v="6"/>
    <n v="2E-3"/>
    <n v="0"/>
    <n v="0"/>
    <n v="5"/>
    <n v="2.3999999999999998E-3"/>
    <n v="0"/>
    <n v="0"/>
    <n v="0"/>
    <n v="0"/>
    <n v="133"/>
    <n v="133"/>
    <n v="0"/>
    <n v="3.0000000000000001E-3"/>
    <n v="587743"/>
    <n v="11"/>
    <n v="0"/>
    <x v="0"/>
    <x v="0"/>
    <x v="2"/>
    <n v="80"/>
  </r>
  <r>
    <x v="0"/>
    <x v="27"/>
    <n v="23934"/>
    <n v="1.9800000000000002E-2"/>
    <n v="4263"/>
    <n v="0.28299999999999997"/>
    <n v="949"/>
    <n v="4.7000000000000002E-3"/>
    <n v="0"/>
    <n v="0"/>
    <n v="884"/>
    <n v="9.7000000000000003E-3"/>
    <n v="16263"/>
    <n v="16263"/>
    <n v="0"/>
    <n v="0"/>
    <n v="209628"/>
    <n v="30030"/>
    <n v="4.49"/>
    <x v="1"/>
    <x v="0"/>
    <x v="1"/>
    <n v="61"/>
  </r>
  <r>
    <x v="1"/>
    <x v="27"/>
    <n v="61626"/>
    <n v="4.6199999999999998E-2"/>
    <n v="2691"/>
    <n v="0.1211"/>
    <n v="2456"/>
    <n v="1.0500000000000001E-2"/>
    <n v="0"/>
    <n v="0"/>
    <n v="182"/>
    <n v="1.6999999999999999E-3"/>
    <n v="16891"/>
    <n v="16891"/>
    <n v="0"/>
    <n v="0"/>
    <n v="242339"/>
    <n v="66955"/>
    <n v="1.1000000000000001"/>
    <x v="0"/>
    <x v="0"/>
    <x v="1"/>
    <n v="76"/>
  </r>
  <r>
    <x v="2"/>
    <x v="27"/>
    <n v="78422"/>
    <n v="5.6000000000000001E-2"/>
    <n v="5375"/>
    <n v="0.1201"/>
    <n v="6019"/>
    <n v="2.3099999999999999E-2"/>
    <n v="43"/>
    <n v="9.7000000000000003E-3"/>
    <n v="383"/>
    <n v="3.3E-3"/>
    <n v="17729"/>
    <n v="17729"/>
    <n v="0"/>
    <n v="0"/>
    <n v="277802"/>
    <n v="90242"/>
    <n v="0.89"/>
    <x v="0"/>
    <x v="0"/>
    <x v="1"/>
    <n v="79"/>
  </r>
  <r>
    <x v="3"/>
    <x v="27"/>
    <n v="92522"/>
    <n v="0.1069"/>
    <n v="4470"/>
    <n v="0.1653"/>
    <n v="9165"/>
    <n v="5.7700000000000001E-2"/>
    <n v="277"/>
    <n v="6.8099999999999994E-2"/>
    <n v="991"/>
    <n v="1.4500000000000001E-2"/>
    <n v="19045"/>
    <n v="19045"/>
    <n v="0"/>
    <n v="0"/>
    <n v="315220"/>
    <n v="107425"/>
    <n v="0.49"/>
    <x v="0"/>
    <x v="0"/>
    <x v="1"/>
    <n v="81"/>
  </r>
  <r>
    <x v="0"/>
    <x v="28"/>
    <n v="0"/>
    <n v="0"/>
    <n v="0"/>
    <n v="0"/>
    <n v="0"/>
    <n v="0"/>
    <n v="0"/>
    <n v="0"/>
    <n v="0"/>
    <n v="0"/>
    <n v="13688"/>
    <n v="13688"/>
    <n v="0"/>
    <n v="0"/>
    <n v="225734"/>
    <n v="0"/>
    <m/>
    <x v="2"/>
    <x v="0"/>
    <x v="1"/>
    <n v="50"/>
  </r>
  <r>
    <x v="1"/>
    <x v="28"/>
    <n v="0"/>
    <n v="0"/>
    <n v="0"/>
    <n v="0"/>
    <n v="0"/>
    <n v="0"/>
    <n v="0"/>
    <n v="0"/>
    <n v="0"/>
    <n v="0"/>
    <n v="14163"/>
    <n v="14160"/>
    <n v="3"/>
    <n v="2.0000000000000001E-4"/>
    <n v="269000"/>
    <n v="0"/>
    <m/>
    <x v="2"/>
    <x v="0"/>
    <x v="2"/>
    <n v="53"/>
  </r>
  <r>
    <x v="2"/>
    <x v="28"/>
    <n v="0"/>
    <n v="0"/>
    <n v="0"/>
    <n v="0"/>
    <n v="0"/>
    <n v="0"/>
    <n v="0"/>
    <n v="0"/>
    <n v="0"/>
    <n v="0"/>
    <n v="15497"/>
    <n v="15497"/>
    <n v="0"/>
    <n v="0"/>
    <n v="312522"/>
    <n v="0"/>
    <m/>
    <x v="2"/>
    <x v="0"/>
    <x v="1"/>
    <n v="56"/>
  </r>
  <r>
    <x v="3"/>
    <x v="28"/>
    <n v="8969"/>
    <n v="0.15440000000000001"/>
    <n v="0"/>
    <n v="0"/>
    <n v="3320"/>
    <n v="0.16370000000000001"/>
    <n v="0"/>
    <n v="0"/>
    <n v="0"/>
    <n v="0"/>
    <n v="15622"/>
    <n v="15622"/>
    <n v="0"/>
    <n v="0"/>
    <n v="356564"/>
    <n v="12289"/>
    <n v="0"/>
    <x v="0"/>
    <x v="0"/>
    <x v="1"/>
    <n v="84"/>
  </r>
  <r>
    <x v="0"/>
    <x v="29"/>
    <n v="3"/>
    <n v="1E-4"/>
    <n v="2426"/>
    <n v="0.41639999999999999"/>
    <n v="5"/>
    <n v="1.1999999999999999E-3"/>
    <n v="0"/>
    <n v="0"/>
    <n v="1"/>
    <n v="4.0000000000000002E-4"/>
    <n v="317"/>
    <n v="315"/>
    <n v="2"/>
    <n v="6.3E-3"/>
    <n v="118401"/>
    <n v="2435"/>
    <n v="100"/>
    <x v="3"/>
    <x v="2"/>
    <x v="2"/>
    <n v="46"/>
  </r>
  <r>
    <x v="1"/>
    <x v="29"/>
    <n v="196"/>
    <n v="5.3E-3"/>
    <n v="3975"/>
    <n v="0.49509999999999998"/>
    <n v="0"/>
    <n v="0"/>
    <n v="0"/>
    <n v="0"/>
    <n v="7"/>
    <n v="2.5000000000000001E-3"/>
    <n v="328"/>
    <n v="327"/>
    <n v="1"/>
    <n v="3.0000000000000001E-3"/>
    <n v="137032"/>
    <n v="4178"/>
    <m/>
    <x v="2"/>
    <x v="2"/>
    <x v="2"/>
    <n v="44"/>
  </r>
  <r>
    <x v="2"/>
    <x v="29"/>
    <n v="256"/>
    <n v="6.4999999999999997E-3"/>
    <n v="6025"/>
    <n v="0.61829999999999996"/>
    <n v="30"/>
    <n v="5.5999999999999999E-3"/>
    <n v="0"/>
    <n v="0"/>
    <n v="1"/>
    <n v="4.0000000000000002E-4"/>
    <n v="333"/>
    <n v="333"/>
    <n v="0"/>
    <n v="0"/>
    <n v="157364"/>
    <n v="6312"/>
    <n v="100"/>
    <x v="3"/>
    <x v="2"/>
    <x v="1"/>
    <n v="59"/>
  </r>
  <r>
    <x v="3"/>
    <x v="29"/>
    <n v="195"/>
    <n v="1.38E-2"/>
    <n v="3438"/>
    <n v="0.77090000000000003"/>
    <n v="14"/>
    <n v="4.5999999999999999E-3"/>
    <n v="0"/>
    <n v="0"/>
    <n v="52"/>
    <n v="3.6999999999999998E-2"/>
    <n v="362"/>
    <n v="362"/>
    <n v="0"/>
    <n v="0"/>
    <n v="177723"/>
    <n v="3699"/>
    <n v="100"/>
    <x v="3"/>
    <x v="2"/>
    <x v="1"/>
    <n v="58"/>
  </r>
  <r>
    <x v="0"/>
    <x v="30"/>
    <n v="6290"/>
    <n v="2.8999999999999998E-3"/>
    <n v="60117"/>
    <n v="0.65059999999999996"/>
    <n v="79"/>
    <n v="2.0000000000000001E-4"/>
    <n v="192"/>
    <n v="0.1411"/>
    <n v="24"/>
    <n v="1E-4"/>
    <n v="23797"/>
    <n v="23747"/>
    <n v="50"/>
    <n v="2.0999999999999999E-3"/>
    <n v="61598"/>
    <n v="66702"/>
    <n v="100"/>
    <x v="3"/>
    <x v="1"/>
    <x v="2"/>
    <n v="40"/>
  </r>
  <r>
    <x v="1"/>
    <x v="30"/>
    <n v="23581"/>
    <n v="1.04E-2"/>
    <n v="138569"/>
    <n v="0.76839999999999997"/>
    <n v="210"/>
    <n v="5.9999999999999995E-4"/>
    <n v="465"/>
    <n v="9.0499999999999997E-2"/>
    <n v="32"/>
    <n v="2.0000000000000001E-4"/>
    <n v="24965"/>
    <n v="24795"/>
    <n v="170"/>
    <n v="6.7999999999999996E-3"/>
    <n v="74055"/>
    <n v="162857"/>
    <n v="100"/>
    <x v="3"/>
    <x v="1"/>
    <x v="2"/>
    <n v="41"/>
  </r>
  <r>
    <x v="2"/>
    <x v="30"/>
    <n v="39968"/>
    <n v="1.6E-2"/>
    <n v="232595"/>
    <n v="0.81279999999999997"/>
    <n v="4580"/>
    <n v="1.15E-2"/>
    <n v="50"/>
    <n v="4.8999999999999998E-3"/>
    <n v="107"/>
    <n v="5.0000000000000001E-4"/>
    <n v="27369"/>
    <n v="26589"/>
    <n v="780"/>
    <n v="2.8500000000000001E-2"/>
    <n v="84126"/>
    <n v="277300"/>
    <n v="50.78"/>
    <x v="3"/>
    <x v="1"/>
    <x v="2"/>
    <n v="65"/>
  </r>
  <r>
    <x v="3"/>
    <x v="30"/>
    <n v="61823"/>
    <n v="4.48E-2"/>
    <n v="106430"/>
    <n v="0.88139999999999996"/>
    <n v="6577"/>
    <n v="2.7799999999999998E-2"/>
    <n v="61"/>
    <n v="1.1299999999999999E-2"/>
    <n v="678"/>
    <n v="5.7999999999999996E-3"/>
    <n v="28704"/>
    <n v="28284"/>
    <n v="420"/>
    <n v="1.4999999999999999E-2"/>
    <n v="93514"/>
    <n v="175569"/>
    <n v="16.18"/>
    <x v="3"/>
    <x v="1"/>
    <x v="2"/>
    <n v="66"/>
  </r>
  <r>
    <x v="0"/>
    <x v="31"/>
    <n v="1211"/>
    <n v="8.8000000000000005E-3"/>
    <n v="3981"/>
    <n v="0.79190000000000005"/>
    <n v="122"/>
    <n v="2.8E-3"/>
    <n v="10"/>
    <n v="8.4000000000000005E-2"/>
    <n v="0"/>
    <n v="0"/>
    <n v="2372"/>
    <n v="2372"/>
    <n v="0"/>
    <n v="0"/>
    <n v="174526"/>
    <n v="5324"/>
    <n v="32.630000000000003"/>
    <x v="3"/>
    <x v="2"/>
    <x v="1"/>
    <n v="54"/>
  </r>
  <r>
    <x v="1"/>
    <x v="31"/>
    <n v="5696"/>
    <n v="3.5499999999999997E-2"/>
    <n v="9456"/>
    <n v="0.8851"/>
    <n v="385"/>
    <n v="7.9000000000000008E-3"/>
    <n v="24"/>
    <n v="4.2900000000000001E-2"/>
    <n v="0"/>
    <n v="0"/>
    <n v="2468"/>
    <n v="2468"/>
    <n v="0"/>
    <n v="0"/>
    <n v="205246"/>
    <n v="15561"/>
    <n v="24.56"/>
    <x v="3"/>
    <x v="0"/>
    <x v="1"/>
    <n v="68"/>
  </r>
  <r>
    <x v="2"/>
    <x v="31"/>
    <n v="5688"/>
    <n v="3.27E-2"/>
    <n v="10617"/>
    <n v="0.80059999999999998"/>
    <n v="488"/>
    <n v="8.8000000000000005E-3"/>
    <n v="0"/>
    <n v="0"/>
    <n v="1"/>
    <n v="1E-4"/>
    <n v="2594"/>
    <n v="2594"/>
    <n v="0"/>
    <n v="0"/>
    <n v="230994"/>
    <n v="16794"/>
    <n v="21.76"/>
    <x v="3"/>
    <x v="0"/>
    <x v="1"/>
    <n v="72"/>
  </r>
  <r>
    <x v="3"/>
    <x v="31"/>
    <n v="4401"/>
    <n v="5.2699999999999997E-2"/>
    <n v="4224"/>
    <n v="0.93720000000000003"/>
    <n v="822"/>
    <n v="2.4799999999999999E-2"/>
    <n v="0"/>
    <n v="0"/>
    <n v="47"/>
    <n v="7.7999999999999996E-3"/>
    <n v="2635"/>
    <n v="2405"/>
    <n v="230"/>
    <n v="8.6999999999999994E-2"/>
    <n v="260201"/>
    <n v="9494"/>
    <n v="5.14"/>
    <x v="3"/>
    <x v="0"/>
    <x v="0"/>
    <n v="74"/>
  </r>
  <r>
    <x v="0"/>
    <x v="32"/>
    <n v="915"/>
    <n v="1.1000000000000001E-3"/>
    <n v="5158"/>
    <n v="0.4032"/>
    <n v="334"/>
    <n v="3.3999999999999998E-3"/>
    <n v="1"/>
    <n v="4.0000000000000002E-4"/>
    <n v="0"/>
    <n v="0"/>
    <n v="8846"/>
    <n v="8846"/>
    <n v="0"/>
    <n v="0"/>
    <n v="105109"/>
    <n v="6408"/>
    <n v="15.44"/>
    <x v="3"/>
    <x v="2"/>
    <x v="1"/>
    <n v="51"/>
  </r>
  <r>
    <x v="1"/>
    <x v="32"/>
    <n v="8410"/>
    <n v="1.04E-2"/>
    <n v="1766"/>
    <n v="0.27510000000000001"/>
    <n v="953"/>
    <n v="9.1999999999999998E-3"/>
    <n v="11"/>
    <n v="3.7000000000000002E-3"/>
    <n v="2"/>
    <n v="0"/>
    <n v="9089"/>
    <n v="9087"/>
    <n v="2"/>
    <n v="2.0000000000000001E-4"/>
    <n v="121904"/>
    <n v="11142"/>
    <n v="1.85"/>
    <x v="0"/>
    <x v="2"/>
    <x v="2"/>
    <n v="66"/>
  </r>
  <r>
    <x v="2"/>
    <x v="32"/>
    <n v="11429"/>
    <n v="1.37E-2"/>
    <n v="7272"/>
    <n v="0.56159999999999999"/>
    <n v="2602"/>
    <n v="2.46E-2"/>
    <n v="14"/>
    <n v="4.3E-3"/>
    <n v="138"/>
    <n v="2.8999999999999998E-3"/>
    <n v="10125"/>
    <n v="9900"/>
    <n v="225"/>
    <n v="2.2200000000000001E-2"/>
    <n v="139442"/>
    <n v="21455"/>
    <n v="2.79"/>
    <x v="1"/>
    <x v="2"/>
    <x v="2"/>
    <n v="69"/>
  </r>
  <r>
    <x v="3"/>
    <x v="32"/>
    <n v="7774"/>
    <n v="0.03"/>
    <n v="38851"/>
    <n v="0.94579999999999997"/>
    <n v="1745"/>
    <n v="5.1299999999999998E-2"/>
    <n v="20"/>
    <n v="1.32E-2"/>
    <n v="96"/>
    <n v="5.4999999999999997E-3"/>
    <n v="11626"/>
    <n v="11626"/>
    <n v="0"/>
    <n v="0"/>
    <n v="154119"/>
    <n v="48486"/>
    <n v="22.26"/>
    <x v="3"/>
    <x v="2"/>
    <x v="1"/>
    <n v="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2E51C7-E040-4C40-8DCC-04D7D310347D}" name="PivotTable1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D119:H153" firstHeaderRow="1" firstDataRow="2" firstDataCol="1"/>
  <pivotFields count="24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rowItems>
  <colFields count="1">
    <field x="0"/>
  </colFields>
  <colItems count="4">
    <i>
      <x/>
    </i>
    <i>
      <x v="1"/>
    </i>
    <i>
      <x v="2"/>
    </i>
    <i>
      <x v="3"/>
    </i>
  </colItems>
  <dataFields count="1">
    <dataField name="Average of Ratio_3W_to_4W" fld="18" subtotal="average" baseField="1" baseItem="0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B77286-2218-42C5-AAB3-063BA26DBDB4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D176:I211" firstHeaderRow="1" firstDataRow="2" firstDataCol="1"/>
  <pivotFields count="24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4W_TORATIO_ALLW" fld="23" subtotal="average" baseField="1" baseItem="0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182220-EC56-4687-95CF-1FB16AD1DE8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D89:I95" firstHeaderRow="1" firstDataRow="2" firstDataCol="1"/>
  <pivotFields count="24">
    <pivotField axis="axisCol" showAll="0">
      <items count="5">
        <item x="0"/>
        <item x="1"/>
        <item x="2"/>
        <item x="3"/>
        <item t="default"/>
      </items>
    </pivotField>
    <pivotField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19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Buyer_Type" fld="19" subtotal="count" baseField="1" baseItem="3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C18998-4DDF-48C3-9AA7-12CA3D40C453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D46:H80" firstHeaderRow="1" firstDataRow="2" firstDataCol="1"/>
  <pivotFields count="24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rowItems>
  <colFields count="1">
    <field x="0"/>
  </colFields>
  <colItems count="4">
    <i>
      <x/>
    </i>
    <i>
      <x v="1"/>
    </i>
    <i>
      <x v="2"/>
    </i>
    <i>
      <x v="3"/>
    </i>
  </colItems>
  <dataFields count="1">
    <dataField name="Sum of Total_EV_Sales" fld="17" baseField="0" baseItem="0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A5D379-10D6-44C3-B1F5-0FD571034D0B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62:E166" firstHeaderRow="1" firstDataRow="1" firstDataCol="1" rowPageCount="1" colPageCount="1"/>
  <pivotFields count="24">
    <pivotField showAll="0"/>
    <pivotField axis="axisPage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ragToRow="0" dragToCol="0" dragToPage="0" showAll="0" defaultSubtotal="0"/>
  </pivotFields>
  <rowFields count="1">
    <field x="2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" hier="-1"/>
  </pageFields>
  <dataFields count="1">
    <dataField name="Sum of Total_EV_Sales" fld="17" baseField="0" baseItem="0"/>
  </dataField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8D06F8-160D-4769-8E6D-7F02A37E918A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6">
  <location ref="D108:E112" firstHeaderRow="1" firstDataRow="1" firstDataCol="1"/>
  <pivotFields count="24">
    <pivotField showAll="0">
      <items count="5">
        <item h="1" x="0"/>
        <item h="1" x="1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dragToRow="0" dragToCol="0" dragToPage="0" showAll="0" defaultSubtotal="0"/>
  </pivotFields>
  <rowFields count="1">
    <field x="2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EV_Sales" fld="1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96E9B-4B18-4C2B-AE0E-9A0B9E33E34D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2">
  <location ref="D5:E13" firstHeaderRow="1" firstDataRow="1" firstDataCol="1"/>
  <pivotFields count="24">
    <pivotField showAll="0">
      <items count="5">
        <item h="1" x="0"/>
        <item x="1"/>
        <item x="2"/>
        <item h="1" x="3"/>
        <item t="default"/>
      </items>
    </pivotField>
    <pivotField axis="axisRow" showAll="0" measureFilter="1" sortType="descending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>
      <items count="4">
        <item h="1" x="0"/>
        <item h="1"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dataField="1" showAll="0"/>
    <pivotField dragToRow="0" dragToCol="0" dragToPage="0" showAll="0" defaultSubtotal="0"/>
  </pivotFields>
  <rowFields count="1">
    <field x="1"/>
  </rowFields>
  <rowItems count="8">
    <i>
      <x v="7"/>
    </i>
    <i>
      <x v="8"/>
    </i>
    <i>
      <x v="14"/>
    </i>
    <i>
      <x v="5"/>
    </i>
    <i>
      <x v="27"/>
    </i>
    <i>
      <x v="17"/>
    </i>
    <i>
      <x v="15"/>
    </i>
    <i>
      <x v="26"/>
    </i>
  </rowItems>
  <colItems count="1">
    <i/>
  </colItems>
  <dataFields count="1">
    <dataField name="Average of EV_Readiness_Score" fld="22" subtotal="average" baseField="1" baseItem="0"/>
  </dataFields>
  <chartFormats count="3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</chartFormats>
  <pivotTableStyleInfo name="PivotStyleLight22" showRowHeaders="1" showColHeaders="1" showRowStripes="0" showColStripes="0" showLastColumn="1"/>
  <filters count="1">
    <filter fld="1" type="count" evalOrder="-1" id="1" iMeasureFld="0">
      <autoFilter ref="A1">
        <filterColumn colId="0">
          <top10 val="8" filterVal="8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C7EDB02-1CCA-42CC-90C5-0ABD35EBFF8F}" autoFormatId="16" applyNumberFormats="0" applyBorderFormats="0" applyFontFormats="0" applyPatternFormats="0" applyAlignmentFormats="0" applyWidthHeightFormats="0">
  <queryTableRefresh nextId="24">
    <queryTableFields count="23">
      <queryTableField id="1" name="Year" tableColumnId="1"/>
      <queryTableField id="2" name="State" tableColumnId="2"/>
      <queryTableField id="3" name="2W EV Sales" tableColumnId="3"/>
      <queryTableField id="4" name="2W EV Penetration" tableColumnId="4"/>
      <queryTableField id="5" name="3W EV Sales" tableColumnId="5"/>
      <queryTableField id="6" name="3W EV Penetration" tableColumnId="6"/>
      <queryTableField id="7" name="4W EV Sales" tableColumnId="7"/>
      <queryTableField id="8" name="4W EV Penetration" tableColumnId="8"/>
      <queryTableField id="9" name="Bus EV Sales" tableColumnId="9"/>
      <queryTableField id="10" name="Bus EV Penetration" tableColumnId="10"/>
      <queryTableField id="11" name="Others EV Sales" tableColumnId="11"/>
      <queryTableField id="12" name="Others EV Penetration" tableColumnId="12"/>
      <queryTableField id="13" name="Peak Demand (MW)" tableColumnId="13"/>
      <queryTableField id="14" name="Peak Met (MW)" tableColumnId="14"/>
      <queryTableField id="15" name="Demand Not Met (MW)" tableColumnId="15"/>
      <queryTableField id="16" name="Demand Not Met (%)" tableColumnId="16"/>
      <queryTableField id="17" name="Per_Capita_Income" tableColumnId="17"/>
      <queryTableField id="18" name="Total_EV_Sales" tableColumnId="18"/>
      <queryTableField id="19" name="Ratio_3W_to_4W" tableColumnId="19"/>
      <queryTableField id="20" name="Buyer_Type" tableColumnId="20"/>
      <queryTableField id="21" name="Income_Category" tableColumnId="21"/>
      <queryTableField id="22" name="Power_Status" tableColumnId="22"/>
      <queryTableField id="23" name="EV_Readiness_Score" tableColumnId="2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8AC4C6-F92D-4810-8971-397FF5A9A06A}" name="Master_query" displayName="Master_query" ref="A1:W133" tableType="queryTable" totalsRowShown="0" headerRowDxfId="11">
  <tableColumns count="23">
    <tableColumn id="1" xr3:uid="{86DC735D-C80E-4DAA-9B53-609C538A0C5E}" uniqueName="1" name="Year" queryTableFieldId="1" dataDxfId="10"/>
    <tableColumn id="2" xr3:uid="{1CB15055-F2DF-4CED-AA7D-53FCCF363061}" uniqueName="2" name="State" queryTableFieldId="2" dataDxfId="9"/>
    <tableColumn id="3" xr3:uid="{8B8AD1DF-8A36-4673-B47F-3E7F2A659E9F}" uniqueName="3" name="2W EV Sales" queryTableFieldId="3"/>
    <tableColumn id="4" xr3:uid="{E8E93AF3-E9DC-4D78-B239-B3D4AEF2D10C}" uniqueName="4" name="2W EV Penetration" queryTableFieldId="4" dataDxfId="8"/>
    <tableColumn id="5" xr3:uid="{B39658CA-0AC2-48B2-8CEA-AAC39AF5E973}" uniqueName="5" name="3W EV Sales" queryTableFieldId="5"/>
    <tableColumn id="6" xr3:uid="{329A656B-F714-4362-930C-B1E98F5BEE33}" uniqueName="6" name="3W EV Penetration" queryTableFieldId="6" dataDxfId="7"/>
    <tableColumn id="7" xr3:uid="{7AE86193-8B2F-4118-897D-5957AF944431}" uniqueName="7" name="4W EV Sales" queryTableFieldId="7"/>
    <tableColumn id="8" xr3:uid="{A5CC7EE0-72B5-4482-9F9D-266B3EE39CF8}" uniqueName="8" name="4W EV Penetration" queryTableFieldId="8" dataDxfId="6"/>
    <tableColumn id="9" xr3:uid="{8C0DEF41-92CE-423A-AF02-23790E256C71}" uniqueName="9" name="Bus EV Sales" queryTableFieldId="9"/>
    <tableColumn id="10" xr3:uid="{E989C17C-7881-4D06-93B7-A1200B3B4848}" uniqueName="10" name="Bus EV Penetration" queryTableFieldId="10" dataDxfId="5"/>
    <tableColumn id="11" xr3:uid="{7CB0D242-3913-4CED-A347-59DC3C9FD2CB}" uniqueName="11" name="Others EV Sales" queryTableFieldId="11"/>
    <tableColumn id="12" xr3:uid="{A6225BE2-A46E-4724-8743-276BEDF878AA}" uniqueName="12" name="Others EV Penetration" queryTableFieldId="12" dataDxfId="4"/>
    <tableColumn id="13" xr3:uid="{73437397-3EEB-4B47-9705-75FE3FDE4C52}" uniqueName="13" name="Peak Demand (MW)" queryTableFieldId="13"/>
    <tableColumn id="14" xr3:uid="{4AABA9A0-C66B-425C-AAE3-6B619DA742DB}" uniqueName="14" name="Peak Met (MW)" queryTableFieldId="14"/>
    <tableColumn id="15" xr3:uid="{D6003401-CF62-49A2-BA1F-8A50BD76BE31}" uniqueName="15" name="Demand Not Met (MW)" queryTableFieldId="15"/>
    <tableColumn id="16" xr3:uid="{0C2A815A-8E16-48A0-9066-4783407A1667}" uniqueName="16" name="Demand Not Met (%)" queryTableFieldId="16" dataDxfId="3"/>
    <tableColumn id="17" xr3:uid="{086F1745-5964-4328-BD9E-0C1932ED1075}" uniqueName="17" name="Per_Capita_Income" queryTableFieldId="17"/>
    <tableColumn id="18" xr3:uid="{7CB46FAF-4061-4AF9-AAC2-A1C330309B46}" uniqueName="18" name="Total_EV_Sales" queryTableFieldId="18"/>
    <tableColumn id="19" xr3:uid="{D01A6DE7-019E-43A5-8044-5661A8FE001A}" uniqueName="19" name="Ratio_3W_to_4W" queryTableFieldId="19"/>
    <tableColumn id="20" xr3:uid="{F7A5B7A0-D7A3-4617-8508-A6FA7326E409}" uniqueName="20" name="Buyer_Type" queryTableFieldId="20"/>
    <tableColumn id="21" xr3:uid="{27365978-BA07-42DB-9EE1-78DFD7A5E646}" uniqueName="21" name="Income_Category" queryTableFieldId="21"/>
    <tableColumn id="22" xr3:uid="{19D6239A-8541-4330-963F-24C6E3FB7CFD}" uniqueName="22" name="Power_Status" queryTableFieldId="22"/>
    <tableColumn id="23" xr3:uid="{7EC39712-F437-433B-9172-EAA08604B5ED}" uniqueName="23" name="EV_Readiness_Score" queryTableField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0FBA80E-E00C-4E00-A49E-CBDB1137DEC5}" name="Table58" displayName="Table58" ref="D7:F19" totalsRowShown="0" headerRowDxfId="2">
  <autoFilter ref="D7:F19" xr:uid="{20FBA80E-E00C-4E00-A49E-CBDB1137DEC5}"/>
  <tableColumns count="3">
    <tableColumn id="8" xr3:uid="{3CE27B14-9E99-4FBE-9E3D-D27C1DA37370}" name="S.NO" dataDxfId="1"/>
    <tableColumn id="1" xr3:uid="{1987B4D4-8F62-414E-BAC2-D1DC87572772}" name="Metric "/>
    <tableColumn id="2" xr3:uid="{C624EFDE-ED3D-4C99-B4FA-36A93789D5D6}" name="Formula and Result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C3FD-8BB8-42E7-B884-A3357201D6D4}">
  <dimension ref="A2:L20"/>
  <sheetViews>
    <sheetView showGridLines="0" tabSelected="1" zoomScale="85" zoomScaleNormal="85" workbookViewId="0">
      <selection activeCell="B4" sqref="B4"/>
    </sheetView>
  </sheetViews>
  <sheetFormatPr defaultRowHeight="21" x14ac:dyDescent="0.35"/>
  <cols>
    <col min="1" max="1" width="74.140625" style="13" bestFit="1" customWidth="1"/>
    <col min="2" max="2" width="212.7109375" style="13" bestFit="1" customWidth="1"/>
    <col min="3" max="11" width="9.140625" style="13"/>
    <col min="12" max="12" width="43" style="13" customWidth="1"/>
    <col min="13" max="16384" width="9.140625" style="13"/>
  </cols>
  <sheetData>
    <row r="2" spans="1:12" ht="33.75" x14ac:dyDescent="0.5">
      <c r="A2" s="22" t="s">
        <v>113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4" spans="1:12" ht="84" x14ac:dyDescent="0.35">
      <c r="A4" s="20" t="s">
        <v>114</v>
      </c>
    </row>
    <row r="5" spans="1:12" x14ac:dyDescent="0.35">
      <c r="A5" s="21"/>
    </row>
    <row r="6" spans="1:12" x14ac:dyDescent="0.35">
      <c r="A6" s="21"/>
    </row>
    <row r="8" spans="1:12" x14ac:dyDescent="0.35">
      <c r="A8" s="14" t="s">
        <v>102</v>
      </c>
    </row>
    <row r="9" spans="1:12" x14ac:dyDescent="0.35">
      <c r="A9" s="13" t="s">
        <v>103</v>
      </c>
    </row>
    <row r="10" spans="1:12" x14ac:dyDescent="0.35">
      <c r="A10" s="13" t="s">
        <v>104</v>
      </c>
    </row>
    <row r="11" spans="1:12" x14ac:dyDescent="0.35">
      <c r="A11" s="13" t="s">
        <v>105</v>
      </c>
    </row>
    <row r="13" spans="1:12" x14ac:dyDescent="0.35">
      <c r="A13" s="13" t="s">
        <v>109</v>
      </c>
    </row>
    <row r="15" spans="1:12" x14ac:dyDescent="0.35">
      <c r="A15" s="13" t="s">
        <v>110</v>
      </c>
    </row>
    <row r="16" spans="1:12" x14ac:dyDescent="0.35">
      <c r="A16" s="13" t="s">
        <v>106</v>
      </c>
    </row>
    <row r="17" spans="1:1" x14ac:dyDescent="0.35">
      <c r="A17" s="13" t="s">
        <v>107</v>
      </c>
    </row>
    <row r="19" spans="1:1" x14ac:dyDescent="0.35">
      <c r="A19" s="13" t="s">
        <v>111</v>
      </c>
    </row>
    <row r="20" spans="1:1" x14ac:dyDescent="0.35">
      <c r="A20" s="13" t="s">
        <v>108</v>
      </c>
    </row>
  </sheetData>
  <mergeCells count="1">
    <mergeCell ref="A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9949-1341-4689-A9BA-B8477FE10B09}">
  <dimension ref="A1:W133"/>
  <sheetViews>
    <sheetView zoomScale="85" zoomScaleNormal="85" workbookViewId="0">
      <selection sqref="A1:XFD1048576"/>
    </sheetView>
  </sheetViews>
  <sheetFormatPr defaultRowHeight="15" x14ac:dyDescent="0.25"/>
  <cols>
    <col min="1" max="1" width="5.5703125" bestFit="1" customWidth="1"/>
    <col min="2" max="2" width="26.42578125" bestFit="1" customWidth="1"/>
    <col min="3" max="3" width="13.140625" bestFit="1" customWidth="1"/>
    <col min="4" max="4" width="20.140625" style="5" bestFit="1" customWidth="1"/>
    <col min="5" max="5" width="13.140625" bestFit="1" customWidth="1"/>
    <col min="6" max="6" width="20.140625" style="5" bestFit="1" customWidth="1"/>
    <col min="7" max="7" width="13.140625" bestFit="1" customWidth="1"/>
    <col min="8" max="8" width="20.140625" style="5" bestFit="1" customWidth="1"/>
    <col min="9" max="9" width="13.5703125" bestFit="1" customWidth="1"/>
    <col min="10" max="10" width="20.42578125" style="5" bestFit="1" customWidth="1"/>
    <col min="11" max="11" width="16.5703125" bestFit="1" customWidth="1"/>
    <col min="12" max="12" width="23.7109375" style="5" bestFit="1" customWidth="1"/>
    <col min="13" max="13" width="21.140625" bestFit="1" customWidth="1"/>
    <col min="14" max="14" width="16.5703125" bestFit="1" customWidth="1"/>
    <col min="15" max="15" width="24.85546875" bestFit="1" customWidth="1"/>
    <col min="16" max="16" width="22.28515625" style="5" bestFit="1" customWidth="1"/>
    <col min="17" max="17" width="20.7109375" bestFit="1" customWidth="1"/>
    <col min="18" max="18" width="16.28515625" bestFit="1" customWidth="1"/>
    <col min="19" max="19" width="19.140625" bestFit="1" customWidth="1"/>
    <col min="20" max="20" width="13.140625" bestFit="1" customWidth="1"/>
    <col min="21" max="21" width="19" bestFit="1" customWidth="1"/>
    <col min="22" max="22" width="15.140625" bestFit="1" customWidth="1"/>
    <col min="23" max="23" width="22.140625" bestFit="1" customWidth="1"/>
  </cols>
  <sheetData>
    <row r="1" spans="1:23" s="1" customFormat="1" ht="15.75" x14ac:dyDescent="0.2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4" t="s">
        <v>5</v>
      </c>
      <c r="G1" s="1" t="s">
        <v>6</v>
      </c>
      <c r="H1" s="4" t="s">
        <v>7</v>
      </c>
      <c r="I1" s="1" t="s">
        <v>8</v>
      </c>
      <c r="J1" s="4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4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7" t="s">
        <v>69</v>
      </c>
    </row>
    <row r="2" spans="1:23" x14ac:dyDescent="0.25">
      <c r="A2" t="s">
        <v>22</v>
      </c>
      <c r="B2" t="s">
        <v>23</v>
      </c>
      <c r="C2">
        <v>0</v>
      </c>
      <c r="D2" s="5">
        <v>0</v>
      </c>
      <c r="E2">
        <v>30</v>
      </c>
      <c r="F2" s="5">
        <v>0.1961</v>
      </c>
      <c r="G2">
        <v>22</v>
      </c>
      <c r="H2" s="5">
        <v>1.8100000000000002E-2</v>
      </c>
      <c r="I2">
        <v>40</v>
      </c>
      <c r="J2" s="5">
        <v>0.93020000000000003</v>
      </c>
      <c r="K2">
        <v>0</v>
      </c>
      <c r="L2" s="5">
        <v>0</v>
      </c>
      <c r="M2">
        <v>58</v>
      </c>
      <c r="N2">
        <v>54</v>
      </c>
      <c r="O2">
        <v>4</v>
      </c>
      <c r="P2" s="5">
        <v>6.9000000000000006E-2</v>
      </c>
      <c r="Q2">
        <v>205368</v>
      </c>
      <c r="R2">
        <v>92</v>
      </c>
      <c r="S2">
        <v>1.36</v>
      </c>
      <c r="T2" t="s">
        <v>24</v>
      </c>
      <c r="U2" t="s">
        <v>25</v>
      </c>
      <c r="V2" t="s">
        <v>26</v>
      </c>
      <c r="W2">
        <v>71</v>
      </c>
    </row>
    <row r="3" spans="1:23" x14ac:dyDescent="0.25">
      <c r="A3" t="s">
        <v>31</v>
      </c>
      <c r="B3" t="s">
        <v>23</v>
      </c>
      <c r="C3">
        <v>16</v>
      </c>
      <c r="D3" s="5">
        <v>3.3999999999999998E-3</v>
      </c>
      <c r="E3">
        <v>0</v>
      </c>
      <c r="F3" s="5">
        <v>0</v>
      </c>
      <c r="G3">
        <v>7</v>
      </c>
      <c r="H3" s="5">
        <v>4.3E-3</v>
      </c>
      <c r="I3">
        <v>0</v>
      </c>
      <c r="J3" s="5">
        <v>0</v>
      </c>
      <c r="K3">
        <v>0</v>
      </c>
      <c r="L3" s="5">
        <v>0</v>
      </c>
      <c r="M3">
        <v>60.1</v>
      </c>
      <c r="N3">
        <v>60.1</v>
      </c>
      <c r="O3">
        <v>0</v>
      </c>
      <c r="P3" s="5">
        <v>0</v>
      </c>
      <c r="Q3">
        <v>229570</v>
      </c>
      <c r="R3">
        <v>23</v>
      </c>
      <c r="S3">
        <v>0</v>
      </c>
      <c r="T3" t="s">
        <v>24</v>
      </c>
      <c r="U3" t="s">
        <v>25</v>
      </c>
      <c r="V3" t="s">
        <v>30</v>
      </c>
      <c r="W3">
        <v>61</v>
      </c>
    </row>
    <row r="4" spans="1:23" x14ac:dyDescent="0.25">
      <c r="A4" t="s">
        <v>34</v>
      </c>
      <c r="B4" t="s">
        <v>23</v>
      </c>
      <c r="C4">
        <v>12</v>
      </c>
      <c r="D4" s="5">
        <v>2.3999999999999998E-3</v>
      </c>
      <c r="E4">
        <v>0</v>
      </c>
      <c r="F4" s="5">
        <v>0</v>
      </c>
      <c r="G4">
        <v>14</v>
      </c>
      <c r="H4" s="5">
        <v>7.4000000000000003E-3</v>
      </c>
      <c r="I4">
        <v>0</v>
      </c>
      <c r="J4" s="5">
        <v>0</v>
      </c>
      <c r="K4">
        <v>0</v>
      </c>
      <c r="L4" s="5">
        <v>0</v>
      </c>
      <c r="M4">
        <v>62.3</v>
      </c>
      <c r="N4">
        <v>62.3</v>
      </c>
      <c r="O4">
        <v>0</v>
      </c>
      <c r="P4" s="5">
        <v>0</v>
      </c>
      <c r="Q4">
        <v>258151</v>
      </c>
      <c r="R4">
        <v>26</v>
      </c>
      <c r="S4">
        <v>0</v>
      </c>
      <c r="T4" t="s">
        <v>24</v>
      </c>
      <c r="U4" t="s">
        <v>25</v>
      </c>
      <c r="V4" t="s">
        <v>30</v>
      </c>
      <c r="W4">
        <v>71</v>
      </c>
    </row>
    <row r="5" spans="1:23" x14ac:dyDescent="0.25">
      <c r="A5" t="s">
        <v>39</v>
      </c>
      <c r="B5" t="s">
        <v>23</v>
      </c>
      <c r="C5">
        <v>25</v>
      </c>
      <c r="D5" s="5">
        <v>7.3000000000000001E-3</v>
      </c>
      <c r="E5">
        <v>0</v>
      </c>
      <c r="F5" s="5">
        <v>0</v>
      </c>
      <c r="G5">
        <v>31</v>
      </c>
      <c r="H5" s="5">
        <v>2.6700000000000002E-2</v>
      </c>
      <c r="I5">
        <v>0</v>
      </c>
      <c r="J5" s="5">
        <v>0</v>
      </c>
      <c r="K5">
        <v>1</v>
      </c>
      <c r="L5" s="5">
        <v>6.7999999999999996E-3</v>
      </c>
      <c r="M5">
        <v>65</v>
      </c>
      <c r="N5">
        <v>60</v>
      </c>
      <c r="O5">
        <v>5</v>
      </c>
      <c r="P5" s="5">
        <v>7.6999999999999999E-2</v>
      </c>
      <c r="Q5">
        <v>0</v>
      </c>
      <c r="R5">
        <v>57</v>
      </c>
      <c r="S5">
        <v>0</v>
      </c>
      <c r="T5" t="s">
        <v>24</v>
      </c>
      <c r="U5" t="s">
        <v>37</v>
      </c>
      <c r="V5" t="s">
        <v>26</v>
      </c>
      <c r="W5">
        <v>57</v>
      </c>
    </row>
    <row r="6" spans="1:23" x14ac:dyDescent="0.25">
      <c r="A6" t="s">
        <v>22</v>
      </c>
      <c r="B6" t="s">
        <v>27</v>
      </c>
      <c r="C6">
        <v>7784</v>
      </c>
      <c r="D6" s="5">
        <v>1.06E-2</v>
      </c>
      <c r="E6">
        <v>1231</v>
      </c>
      <c r="F6" s="5">
        <v>7.6300000000000007E-2</v>
      </c>
      <c r="G6">
        <v>387</v>
      </c>
      <c r="H6" s="5">
        <v>4.3E-3</v>
      </c>
      <c r="I6">
        <v>0</v>
      </c>
      <c r="J6" s="5">
        <v>0</v>
      </c>
      <c r="K6">
        <v>138</v>
      </c>
      <c r="L6" s="5">
        <v>1.6999999999999999E-3</v>
      </c>
      <c r="M6">
        <v>11193</v>
      </c>
      <c r="N6">
        <v>11193</v>
      </c>
      <c r="O6">
        <v>0</v>
      </c>
      <c r="P6" s="5">
        <v>0</v>
      </c>
      <c r="Q6">
        <v>168063</v>
      </c>
      <c r="R6">
        <v>9540</v>
      </c>
      <c r="S6">
        <v>3.18</v>
      </c>
      <c r="T6" t="s">
        <v>28</v>
      </c>
      <c r="U6" t="s">
        <v>29</v>
      </c>
      <c r="V6" t="s">
        <v>30</v>
      </c>
      <c r="W6">
        <v>57</v>
      </c>
    </row>
    <row r="7" spans="1:23" x14ac:dyDescent="0.25">
      <c r="A7" t="s">
        <v>31</v>
      </c>
      <c r="B7" t="s">
        <v>27</v>
      </c>
      <c r="C7">
        <v>27303</v>
      </c>
      <c r="D7" s="5">
        <v>4.2200000000000001E-2</v>
      </c>
      <c r="E7">
        <v>608</v>
      </c>
      <c r="F7" s="5">
        <v>2.93E-2</v>
      </c>
      <c r="G7">
        <v>747</v>
      </c>
      <c r="H7" s="5">
        <v>8.6999999999999994E-3</v>
      </c>
      <c r="I7">
        <v>26</v>
      </c>
      <c r="J7" s="5">
        <v>1.06E-2</v>
      </c>
      <c r="K7">
        <v>322</v>
      </c>
      <c r="L7" s="5">
        <v>4.4999999999999997E-3</v>
      </c>
      <c r="M7">
        <v>12551</v>
      </c>
      <c r="N7">
        <v>12032</v>
      </c>
      <c r="O7">
        <v>519</v>
      </c>
      <c r="P7" s="5">
        <v>4.1399999999999999E-2</v>
      </c>
      <c r="Q7">
        <v>197214</v>
      </c>
      <c r="R7">
        <v>29006</v>
      </c>
      <c r="S7">
        <v>0.81</v>
      </c>
      <c r="T7" t="s">
        <v>24</v>
      </c>
      <c r="U7" t="s">
        <v>29</v>
      </c>
      <c r="V7" t="s">
        <v>38</v>
      </c>
      <c r="W7">
        <v>68</v>
      </c>
    </row>
    <row r="8" spans="1:23" x14ac:dyDescent="0.25">
      <c r="A8" t="s">
        <v>34</v>
      </c>
      <c r="B8" t="s">
        <v>27</v>
      </c>
      <c r="C8">
        <v>28434</v>
      </c>
      <c r="D8" s="5">
        <v>4.24E-2</v>
      </c>
      <c r="E8">
        <v>1062</v>
      </c>
      <c r="F8" s="5">
        <v>7.2499999999999995E-2</v>
      </c>
      <c r="G8">
        <v>1623</v>
      </c>
      <c r="H8" s="5">
        <v>1.77E-2</v>
      </c>
      <c r="I8">
        <v>90</v>
      </c>
      <c r="J8" s="5">
        <v>7.0800000000000002E-2</v>
      </c>
      <c r="K8">
        <v>297</v>
      </c>
      <c r="L8" s="5">
        <v>5.8999999999999999E-3</v>
      </c>
      <c r="M8">
        <v>13167</v>
      </c>
      <c r="N8">
        <v>12293</v>
      </c>
      <c r="O8">
        <v>874</v>
      </c>
      <c r="P8" s="5">
        <v>6.6400000000000001E-2</v>
      </c>
      <c r="Q8">
        <v>219881</v>
      </c>
      <c r="R8">
        <v>31506</v>
      </c>
      <c r="S8">
        <v>0.65</v>
      </c>
      <c r="T8" t="s">
        <v>24</v>
      </c>
      <c r="U8" t="s">
        <v>25</v>
      </c>
      <c r="V8" t="s">
        <v>26</v>
      </c>
      <c r="W8">
        <v>72</v>
      </c>
    </row>
    <row r="9" spans="1:23" x14ac:dyDescent="0.25">
      <c r="A9" t="s">
        <v>39</v>
      </c>
      <c r="B9" t="s">
        <v>27</v>
      </c>
      <c r="C9">
        <v>33425</v>
      </c>
      <c r="D9" s="5">
        <v>0.10009999999999999</v>
      </c>
      <c r="E9">
        <v>3256</v>
      </c>
      <c r="F9" s="5">
        <v>0.1467</v>
      </c>
      <c r="G9">
        <v>3600</v>
      </c>
      <c r="H9" s="5">
        <v>8.1600000000000006E-2</v>
      </c>
      <c r="I9">
        <v>17</v>
      </c>
      <c r="J9" s="5">
        <v>1.2800000000000001E-2</v>
      </c>
      <c r="K9">
        <v>199</v>
      </c>
      <c r="L9" s="5">
        <v>5.4999999999999997E-3</v>
      </c>
      <c r="M9">
        <v>13237</v>
      </c>
      <c r="N9">
        <v>13237</v>
      </c>
      <c r="O9">
        <v>0</v>
      </c>
      <c r="P9" s="5">
        <v>0</v>
      </c>
      <c r="Q9">
        <v>242479</v>
      </c>
      <c r="R9">
        <v>40497</v>
      </c>
      <c r="S9">
        <v>0.9</v>
      </c>
      <c r="T9" t="s">
        <v>24</v>
      </c>
      <c r="U9" t="s">
        <v>25</v>
      </c>
      <c r="V9" t="s">
        <v>30</v>
      </c>
      <c r="W9">
        <v>76</v>
      </c>
    </row>
    <row r="10" spans="1:23" x14ac:dyDescent="0.25">
      <c r="A10" t="s">
        <v>22</v>
      </c>
      <c r="B10" t="s">
        <v>32</v>
      </c>
      <c r="C10">
        <v>2</v>
      </c>
      <c r="D10" s="5">
        <v>2.0000000000000001E-4</v>
      </c>
      <c r="E10">
        <v>0</v>
      </c>
      <c r="F10" s="5">
        <v>0</v>
      </c>
      <c r="G10">
        <v>0</v>
      </c>
      <c r="H10" s="5">
        <v>0</v>
      </c>
      <c r="I10">
        <v>0</v>
      </c>
      <c r="J10" s="5">
        <v>0</v>
      </c>
      <c r="K10">
        <v>0</v>
      </c>
      <c r="L10" s="5">
        <v>0</v>
      </c>
      <c r="M10">
        <v>158</v>
      </c>
      <c r="N10">
        <v>149</v>
      </c>
      <c r="O10">
        <v>9</v>
      </c>
      <c r="P10" s="5">
        <v>5.7000000000000002E-2</v>
      </c>
      <c r="Q10">
        <v>181537</v>
      </c>
      <c r="R10">
        <v>2</v>
      </c>
      <c r="T10" t="s">
        <v>33</v>
      </c>
      <c r="U10" t="s">
        <v>29</v>
      </c>
      <c r="V10" t="s">
        <v>26</v>
      </c>
      <c r="W10">
        <v>45</v>
      </c>
    </row>
    <row r="11" spans="1:23" x14ac:dyDescent="0.25">
      <c r="A11" t="s">
        <v>31</v>
      </c>
      <c r="B11" t="s">
        <v>32</v>
      </c>
      <c r="C11">
        <v>1</v>
      </c>
      <c r="D11" s="5">
        <v>1E-4</v>
      </c>
      <c r="E11">
        <v>0</v>
      </c>
      <c r="F11" s="5">
        <v>0</v>
      </c>
      <c r="G11">
        <v>1</v>
      </c>
      <c r="H11" s="5">
        <v>1E-4</v>
      </c>
      <c r="I11">
        <v>0</v>
      </c>
      <c r="J11" s="5">
        <v>0</v>
      </c>
      <c r="K11">
        <v>0</v>
      </c>
      <c r="L11" s="5">
        <v>0</v>
      </c>
      <c r="M11">
        <v>197</v>
      </c>
      <c r="N11">
        <v>168</v>
      </c>
      <c r="O11">
        <v>29</v>
      </c>
      <c r="P11" s="5">
        <v>0.1472</v>
      </c>
      <c r="Q11">
        <v>190851</v>
      </c>
      <c r="R11">
        <v>2</v>
      </c>
      <c r="S11">
        <v>0</v>
      </c>
      <c r="T11" t="s">
        <v>24</v>
      </c>
      <c r="U11" t="s">
        <v>29</v>
      </c>
      <c r="V11" t="s">
        <v>26</v>
      </c>
      <c r="W11">
        <v>43</v>
      </c>
    </row>
    <row r="12" spans="1:23" x14ac:dyDescent="0.25">
      <c r="A12" t="s">
        <v>34</v>
      </c>
      <c r="B12" t="s">
        <v>32</v>
      </c>
      <c r="C12">
        <v>3</v>
      </c>
      <c r="D12" s="5">
        <v>2.0000000000000001E-4</v>
      </c>
      <c r="E12">
        <v>0</v>
      </c>
      <c r="F12" s="5">
        <v>0</v>
      </c>
      <c r="G12">
        <v>18</v>
      </c>
      <c r="H12" s="5">
        <v>1.4E-3</v>
      </c>
      <c r="I12">
        <v>0</v>
      </c>
      <c r="J12" s="5">
        <v>0</v>
      </c>
      <c r="K12">
        <v>0</v>
      </c>
      <c r="L12" s="5">
        <v>0</v>
      </c>
      <c r="M12">
        <v>167</v>
      </c>
      <c r="N12">
        <v>167</v>
      </c>
      <c r="O12">
        <v>0</v>
      </c>
      <c r="P12" s="5">
        <v>0</v>
      </c>
      <c r="Q12">
        <v>199992</v>
      </c>
      <c r="R12">
        <v>21</v>
      </c>
      <c r="S12">
        <v>0</v>
      </c>
      <c r="T12" t="s">
        <v>24</v>
      </c>
      <c r="U12" t="s">
        <v>29</v>
      </c>
      <c r="V12" t="s">
        <v>30</v>
      </c>
      <c r="W12">
        <v>52</v>
      </c>
    </row>
    <row r="13" spans="1:23" x14ac:dyDescent="0.25">
      <c r="A13" t="s">
        <v>39</v>
      </c>
      <c r="B13" t="s">
        <v>32</v>
      </c>
      <c r="C13">
        <v>33</v>
      </c>
      <c r="D13" s="5">
        <v>4.7000000000000002E-3</v>
      </c>
      <c r="E13">
        <v>1</v>
      </c>
      <c r="F13" s="5">
        <v>2.0400000000000001E-2</v>
      </c>
      <c r="G13">
        <v>31</v>
      </c>
      <c r="H13" s="5">
        <v>3.7000000000000002E-3</v>
      </c>
      <c r="I13">
        <v>0</v>
      </c>
      <c r="J13" s="5">
        <v>0</v>
      </c>
      <c r="K13">
        <v>1</v>
      </c>
      <c r="L13" s="5">
        <v>5.0000000000000001E-4</v>
      </c>
      <c r="M13">
        <v>186</v>
      </c>
      <c r="N13">
        <v>186</v>
      </c>
      <c r="O13">
        <v>0</v>
      </c>
      <c r="P13" s="5">
        <v>2E-3</v>
      </c>
      <c r="Q13">
        <v>0</v>
      </c>
      <c r="R13">
        <v>66</v>
      </c>
      <c r="S13">
        <v>0.03</v>
      </c>
      <c r="T13" t="s">
        <v>24</v>
      </c>
      <c r="U13" t="s">
        <v>37</v>
      </c>
      <c r="V13" t="s">
        <v>38</v>
      </c>
      <c r="W13">
        <v>44</v>
      </c>
    </row>
    <row r="14" spans="1:23" x14ac:dyDescent="0.25">
      <c r="A14" t="s">
        <v>22</v>
      </c>
      <c r="B14" t="s">
        <v>35</v>
      </c>
      <c r="C14">
        <v>378</v>
      </c>
      <c r="D14" s="5">
        <v>1.1000000000000001E-3</v>
      </c>
      <c r="E14">
        <v>15247</v>
      </c>
      <c r="F14" s="5">
        <v>0.72</v>
      </c>
      <c r="G14">
        <v>7</v>
      </c>
      <c r="H14" s="5">
        <v>1E-4</v>
      </c>
      <c r="I14">
        <v>0</v>
      </c>
      <c r="J14" s="5">
        <v>0</v>
      </c>
      <c r="K14">
        <v>1</v>
      </c>
      <c r="L14" s="5">
        <v>0</v>
      </c>
      <c r="M14">
        <v>2072</v>
      </c>
      <c r="N14">
        <v>1987</v>
      </c>
      <c r="O14">
        <v>85</v>
      </c>
      <c r="P14" s="5">
        <v>4.1000000000000002E-2</v>
      </c>
      <c r="Q14">
        <v>86947</v>
      </c>
      <c r="R14">
        <v>15633</v>
      </c>
      <c r="S14">
        <v>100</v>
      </c>
      <c r="T14" t="s">
        <v>36</v>
      </c>
      <c r="U14" t="s">
        <v>37</v>
      </c>
      <c r="V14" t="s">
        <v>38</v>
      </c>
      <c r="W14">
        <v>40</v>
      </c>
    </row>
    <row r="15" spans="1:23" x14ac:dyDescent="0.25">
      <c r="A15" t="s">
        <v>31</v>
      </c>
      <c r="B15" t="s">
        <v>35</v>
      </c>
      <c r="C15">
        <v>1902</v>
      </c>
      <c r="D15" s="5">
        <v>5.4000000000000003E-3</v>
      </c>
      <c r="E15">
        <v>38729</v>
      </c>
      <c r="F15" s="5">
        <v>0.83730000000000004</v>
      </c>
      <c r="G15">
        <v>82</v>
      </c>
      <c r="H15" s="5">
        <v>1E-3</v>
      </c>
      <c r="I15">
        <v>0</v>
      </c>
      <c r="J15" s="5">
        <v>0</v>
      </c>
      <c r="K15">
        <v>7</v>
      </c>
      <c r="L15" s="5">
        <v>2.0000000000000001E-4</v>
      </c>
      <c r="M15">
        <v>2126</v>
      </c>
      <c r="N15">
        <v>2121</v>
      </c>
      <c r="O15">
        <v>5</v>
      </c>
      <c r="P15" s="5">
        <v>2.3999999999999998E-3</v>
      </c>
      <c r="Q15">
        <v>103371</v>
      </c>
      <c r="R15">
        <v>40720</v>
      </c>
      <c r="S15">
        <v>100</v>
      </c>
      <c r="T15" t="s">
        <v>36</v>
      </c>
      <c r="U15" t="s">
        <v>29</v>
      </c>
      <c r="V15" t="s">
        <v>38</v>
      </c>
      <c r="W15">
        <v>44</v>
      </c>
    </row>
    <row r="16" spans="1:23" x14ac:dyDescent="0.25">
      <c r="A16" t="s">
        <v>34</v>
      </c>
      <c r="B16" t="s">
        <v>35</v>
      </c>
      <c r="C16">
        <v>2455</v>
      </c>
      <c r="D16" s="5">
        <v>5.4000000000000003E-3</v>
      </c>
      <c r="E16">
        <v>57900</v>
      </c>
      <c r="F16" s="5">
        <v>0.82289999999999996</v>
      </c>
      <c r="G16">
        <v>269</v>
      </c>
      <c r="H16" s="5">
        <v>2.8999999999999998E-3</v>
      </c>
      <c r="I16">
        <v>158</v>
      </c>
      <c r="J16" s="5">
        <v>0.12620000000000001</v>
      </c>
      <c r="K16">
        <v>16</v>
      </c>
      <c r="L16" s="5">
        <v>4.0000000000000002E-4</v>
      </c>
      <c r="M16">
        <v>2379</v>
      </c>
      <c r="N16">
        <v>2376</v>
      </c>
      <c r="O16">
        <v>3</v>
      </c>
      <c r="P16" s="5">
        <v>1.1999999999999999E-3</v>
      </c>
      <c r="Q16">
        <v>119308</v>
      </c>
      <c r="R16">
        <v>60798</v>
      </c>
      <c r="S16">
        <v>100</v>
      </c>
      <c r="T16" t="s">
        <v>36</v>
      </c>
      <c r="U16" t="s">
        <v>29</v>
      </c>
      <c r="V16" t="s">
        <v>38</v>
      </c>
      <c r="W16">
        <v>50</v>
      </c>
    </row>
    <row r="17" spans="1:23" x14ac:dyDescent="0.25">
      <c r="A17" t="s">
        <v>39</v>
      </c>
      <c r="B17" t="s">
        <v>35</v>
      </c>
      <c r="C17">
        <v>2064</v>
      </c>
      <c r="D17" s="5">
        <v>1.0999999999999999E-2</v>
      </c>
      <c r="E17">
        <v>41335</v>
      </c>
      <c r="F17" s="5">
        <v>0.96220000000000006</v>
      </c>
      <c r="G17">
        <v>254</v>
      </c>
      <c r="H17" s="5">
        <v>7.4999999999999997E-3</v>
      </c>
      <c r="I17">
        <v>45</v>
      </c>
      <c r="J17" s="5">
        <v>6.6100000000000006E-2</v>
      </c>
      <c r="K17">
        <v>30</v>
      </c>
      <c r="L17" s="5">
        <v>2.5999999999999999E-3</v>
      </c>
      <c r="M17">
        <v>2413</v>
      </c>
      <c r="N17">
        <v>2413</v>
      </c>
      <c r="O17">
        <v>0</v>
      </c>
      <c r="P17" s="5">
        <v>0</v>
      </c>
      <c r="Q17">
        <v>135787</v>
      </c>
      <c r="R17">
        <v>43728</v>
      </c>
      <c r="S17">
        <v>100</v>
      </c>
      <c r="T17" t="s">
        <v>36</v>
      </c>
      <c r="U17" t="s">
        <v>29</v>
      </c>
      <c r="V17" t="s">
        <v>30</v>
      </c>
      <c r="W17">
        <v>63</v>
      </c>
    </row>
    <row r="18" spans="1:23" x14ac:dyDescent="0.25">
      <c r="A18" t="s">
        <v>22</v>
      </c>
      <c r="B18" t="s">
        <v>40</v>
      </c>
      <c r="C18">
        <v>2788</v>
      </c>
      <c r="D18" s="5">
        <v>3.3E-3</v>
      </c>
      <c r="E18">
        <v>20206</v>
      </c>
      <c r="F18" s="5">
        <v>0.44640000000000002</v>
      </c>
      <c r="G18">
        <v>61</v>
      </c>
      <c r="H18" s="5">
        <v>8.9999999999999998E-4</v>
      </c>
      <c r="I18">
        <v>26</v>
      </c>
      <c r="J18" s="5">
        <v>2.4E-2</v>
      </c>
      <c r="K18">
        <v>1</v>
      </c>
      <c r="L18" s="5">
        <v>0</v>
      </c>
      <c r="M18">
        <v>5995</v>
      </c>
      <c r="N18">
        <v>5938</v>
      </c>
      <c r="O18">
        <v>58</v>
      </c>
      <c r="P18" s="5">
        <v>9.7000000000000003E-3</v>
      </c>
      <c r="Q18">
        <v>42128</v>
      </c>
      <c r="R18">
        <v>23082</v>
      </c>
      <c r="S18">
        <v>100</v>
      </c>
      <c r="T18" t="s">
        <v>36</v>
      </c>
      <c r="U18" t="s">
        <v>37</v>
      </c>
      <c r="V18" t="s">
        <v>38</v>
      </c>
      <c r="W18">
        <v>40</v>
      </c>
    </row>
    <row r="19" spans="1:23" x14ac:dyDescent="0.25">
      <c r="A19" t="s">
        <v>31</v>
      </c>
      <c r="B19" t="s">
        <v>40</v>
      </c>
      <c r="C19">
        <v>9936</v>
      </c>
      <c r="D19" s="5">
        <v>1.09E-2</v>
      </c>
      <c r="E19">
        <v>45666</v>
      </c>
      <c r="F19" s="5">
        <v>0.63229999999999997</v>
      </c>
      <c r="G19">
        <v>135</v>
      </c>
      <c r="H19" s="5">
        <v>1.9E-3</v>
      </c>
      <c r="I19">
        <v>1</v>
      </c>
      <c r="J19" s="5">
        <v>8.0000000000000004E-4</v>
      </c>
      <c r="K19">
        <v>14</v>
      </c>
      <c r="L19" s="5">
        <v>2.0000000000000001E-4</v>
      </c>
      <c r="M19">
        <v>7154</v>
      </c>
      <c r="N19">
        <v>6490</v>
      </c>
      <c r="O19">
        <v>664</v>
      </c>
      <c r="P19" s="5">
        <v>9.2799999999999994E-2</v>
      </c>
      <c r="Q19">
        <v>47296</v>
      </c>
      <c r="R19">
        <v>55752</v>
      </c>
      <c r="S19">
        <v>100</v>
      </c>
      <c r="T19" t="s">
        <v>36</v>
      </c>
      <c r="U19" t="s">
        <v>37</v>
      </c>
      <c r="V19" t="s">
        <v>26</v>
      </c>
      <c r="W19">
        <v>40</v>
      </c>
    </row>
    <row r="20" spans="1:23" x14ac:dyDescent="0.25">
      <c r="A20" t="s">
        <v>34</v>
      </c>
      <c r="B20" t="s">
        <v>40</v>
      </c>
      <c r="C20">
        <v>12393</v>
      </c>
      <c r="D20" s="5">
        <v>1.2E-2</v>
      </c>
      <c r="E20">
        <v>75191</v>
      </c>
      <c r="F20" s="5">
        <v>0.69550000000000001</v>
      </c>
      <c r="G20">
        <v>587</v>
      </c>
      <c r="H20" s="5">
        <v>8.0000000000000002E-3</v>
      </c>
      <c r="I20">
        <v>0</v>
      </c>
      <c r="J20" s="5">
        <v>0</v>
      </c>
      <c r="K20">
        <v>15</v>
      </c>
      <c r="L20" s="5">
        <v>2.0000000000000001E-4</v>
      </c>
      <c r="M20">
        <v>7852</v>
      </c>
      <c r="N20">
        <v>6631</v>
      </c>
      <c r="O20">
        <v>1221</v>
      </c>
      <c r="P20" s="5">
        <v>0.1555</v>
      </c>
      <c r="Q20">
        <v>53478</v>
      </c>
      <c r="R20">
        <v>88186</v>
      </c>
      <c r="S20">
        <v>100</v>
      </c>
      <c r="T20" t="s">
        <v>36</v>
      </c>
      <c r="U20" t="s">
        <v>37</v>
      </c>
      <c r="V20" t="s">
        <v>26</v>
      </c>
      <c r="W20">
        <v>53</v>
      </c>
    </row>
    <row r="21" spans="1:23" x14ac:dyDescent="0.25">
      <c r="A21" t="s">
        <v>39</v>
      </c>
      <c r="B21" t="s">
        <v>40</v>
      </c>
      <c r="C21">
        <v>15322</v>
      </c>
      <c r="D21" s="5">
        <v>2.7300000000000001E-2</v>
      </c>
      <c r="E21">
        <v>40442</v>
      </c>
      <c r="F21" s="5">
        <v>0.80489999999999995</v>
      </c>
      <c r="G21">
        <v>649</v>
      </c>
      <c r="H21" s="5">
        <v>1.41E-2</v>
      </c>
      <c r="I21">
        <v>0</v>
      </c>
      <c r="J21" s="5">
        <v>0</v>
      </c>
      <c r="K21">
        <v>113</v>
      </c>
      <c r="L21" s="5">
        <v>3.2000000000000002E-3</v>
      </c>
      <c r="M21">
        <v>8049</v>
      </c>
      <c r="N21">
        <v>7420</v>
      </c>
      <c r="O21">
        <v>629</v>
      </c>
      <c r="P21" s="5">
        <v>7.8E-2</v>
      </c>
      <c r="Q21">
        <v>60337</v>
      </c>
      <c r="R21">
        <v>56526</v>
      </c>
      <c r="S21">
        <v>62.31</v>
      </c>
      <c r="T21" t="s">
        <v>36</v>
      </c>
      <c r="U21" t="s">
        <v>37</v>
      </c>
      <c r="V21" t="s">
        <v>26</v>
      </c>
      <c r="W21">
        <v>61</v>
      </c>
    </row>
    <row r="22" spans="1:23" x14ac:dyDescent="0.25">
      <c r="A22" t="s">
        <v>22</v>
      </c>
      <c r="B22" t="s">
        <v>41</v>
      </c>
      <c r="C22">
        <v>197</v>
      </c>
      <c r="D22" s="5">
        <v>1.2E-2</v>
      </c>
      <c r="E22">
        <v>386</v>
      </c>
      <c r="F22" s="5">
        <v>0.64229999999999998</v>
      </c>
      <c r="G22">
        <v>111</v>
      </c>
      <c r="H22" s="5">
        <v>5.4999999999999997E-3</v>
      </c>
      <c r="I22">
        <v>40</v>
      </c>
      <c r="J22" s="5">
        <v>0.66669999999999996</v>
      </c>
      <c r="K22">
        <v>0</v>
      </c>
      <c r="L22" s="5">
        <v>0</v>
      </c>
      <c r="M22">
        <v>383</v>
      </c>
      <c r="N22">
        <v>383</v>
      </c>
      <c r="O22">
        <v>0</v>
      </c>
      <c r="P22" s="5">
        <v>0</v>
      </c>
      <c r="Q22">
        <v>290417</v>
      </c>
      <c r="R22">
        <v>734</v>
      </c>
      <c r="S22">
        <v>3.48</v>
      </c>
      <c r="T22" t="s">
        <v>28</v>
      </c>
      <c r="U22" t="s">
        <v>25</v>
      </c>
      <c r="V22" t="s">
        <v>30</v>
      </c>
      <c r="W22">
        <v>68</v>
      </c>
    </row>
    <row r="23" spans="1:23" x14ac:dyDescent="0.25">
      <c r="A23" t="s">
        <v>31</v>
      </c>
      <c r="B23" t="s">
        <v>41</v>
      </c>
      <c r="C23">
        <v>857</v>
      </c>
      <c r="D23" s="5">
        <v>3.8899999999999997E-2</v>
      </c>
      <c r="E23">
        <v>1550</v>
      </c>
      <c r="F23" s="5">
        <v>0.87819999999999998</v>
      </c>
      <c r="G23">
        <v>272</v>
      </c>
      <c r="H23" s="5">
        <v>1.0500000000000001E-2</v>
      </c>
      <c r="I23">
        <v>40</v>
      </c>
      <c r="J23" s="5">
        <v>0.23810000000000001</v>
      </c>
      <c r="K23">
        <v>0</v>
      </c>
      <c r="L23" s="5">
        <v>0</v>
      </c>
      <c r="M23">
        <v>426</v>
      </c>
      <c r="N23">
        <v>426</v>
      </c>
      <c r="O23">
        <v>0</v>
      </c>
      <c r="P23" s="5">
        <v>0</v>
      </c>
      <c r="Q23">
        <v>337406</v>
      </c>
      <c r="R23">
        <v>2719</v>
      </c>
      <c r="S23">
        <v>5.7</v>
      </c>
      <c r="T23" t="s">
        <v>36</v>
      </c>
      <c r="U23" t="s">
        <v>25</v>
      </c>
      <c r="V23" t="s">
        <v>30</v>
      </c>
      <c r="W23">
        <v>82</v>
      </c>
    </row>
    <row r="24" spans="1:23" x14ac:dyDescent="0.25">
      <c r="A24" t="s">
        <v>34</v>
      </c>
      <c r="B24" t="s">
        <v>41</v>
      </c>
      <c r="C24">
        <v>2148</v>
      </c>
      <c r="D24" s="5">
        <v>9.9000000000000005E-2</v>
      </c>
      <c r="E24">
        <v>3202</v>
      </c>
      <c r="F24" s="5">
        <v>0.95979999999999999</v>
      </c>
      <c r="G24">
        <v>956</v>
      </c>
      <c r="H24" s="5">
        <v>3.7400000000000003E-2</v>
      </c>
      <c r="I24">
        <v>0</v>
      </c>
      <c r="J24" s="5">
        <v>0</v>
      </c>
      <c r="K24">
        <v>27</v>
      </c>
      <c r="L24" s="5">
        <v>2.5499999999999998E-2</v>
      </c>
      <c r="M24">
        <v>407</v>
      </c>
      <c r="N24">
        <v>407</v>
      </c>
      <c r="O24">
        <v>0</v>
      </c>
      <c r="P24" s="5">
        <v>0</v>
      </c>
      <c r="Q24">
        <v>399654</v>
      </c>
      <c r="R24">
        <v>6333</v>
      </c>
      <c r="S24">
        <v>3.35</v>
      </c>
      <c r="T24" t="s">
        <v>28</v>
      </c>
      <c r="U24" t="s">
        <v>25</v>
      </c>
      <c r="V24" t="s">
        <v>30</v>
      </c>
      <c r="W24">
        <v>87</v>
      </c>
    </row>
    <row r="25" spans="1:23" x14ac:dyDescent="0.25">
      <c r="A25" t="s">
        <v>39</v>
      </c>
      <c r="B25" t="s">
        <v>41</v>
      </c>
      <c r="C25">
        <v>679</v>
      </c>
      <c r="D25" s="5">
        <v>6.1899999999999997E-2</v>
      </c>
      <c r="E25">
        <v>668</v>
      </c>
      <c r="F25" s="5">
        <v>0.86529999999999996</v>
      </c>
      <c r="G25">
        <v>1044</v>
      </c>
      <c r="H25" s="5">
        <v>0.1205</v>
      </c>
      <c r="I25">
        <v>45</v>
      </c>
      <c r="J25" s="5">
        <v>0.1573</v>
      </c>
      <c r="K25">
        <v>18</v>
      </c>
      <c r="L25" s="5">
        <v>3.5900000000000001E-2</v>
      </c>
      <c r="M25">
        <v>411</v>
      </c>
      <c r="N25">
        <v>411</v>
      </c>
      <c r="O25">
        <v>0</v>
      </c>
      <c r="P25" s="5">
        <v>0</v>
      </c>
      <c r="Q25">
        <v>0</v>
      </c>
      <c r="R25">
        <v>2454</v>
      </c>
      <c r="S25">
        <v>0.64</v>
      </c>
      <c r="T25" t="s">
        <v>24</v>
      </c>
      <c r="U25" t="s">
        <v>37</v>
      </c>
      <c r="V25" t="s">
        <v>30</v>
      </c>
      <c r="W25">
        <v>60</v>
      </c>
    </row>
    <row r="26" spans="1:23" x14ac:dyDescent="0.25">
      <c r="A26" t="s">
        <v>22</v>
      </c>
      <c r="B26" t="s">
        <v>42</v>
      </c>
      <c r="C26">
        <v>2630</v>
      </c>
      <c r="D26" s="5">
        <v>7.4000000000000003E-3</v>
      </c>
      <c r="E26">
        <v>1514</v>
      </c>
      <c r="F26" s="5">
        <v>0.53159999999999996</v>
      </c>
      <c r="G26">
        <v>70</v>
      </c>
      <c r="H26" s="5">
        <v>1.4E-3</v>
      </c>
      <c r="I26">
        <v>0</v>
      </c>
      <c r="J26" s="5">
        <v>0</v>
      </c>
      <c r="K26">
        <v>0</v>
      </c>
      <c r="L26" s="5">
        <v>0</v>
      </c>
      <c r="M26">
        <v>4682</v>
      </c>
      <c r="N26">
        <v>4682</v>
      </c>
      <c r="O26">
        <v>0</v>
      </c>
      <c r="P26" s="5">
        <v>0</v>
      </c>
      <c r="Q26">
        <v>106117</v>
      </c>
      <c r="R26">
        <v>4214</v>
      </c>
      <c r="S26">
        <v>21.63</v>
      </c>
      <c r="T26" t="s">
        <v>36</v>
      </c>
      <c r="U26" t="s">
        <v>29</v>
      </c>
      <c r="V26" t="s">
        <v>30</v>
      </c>
      <c r="W26">
        <v>46</v>
      </c>
    </row>
    <row r="27" spans="1:23" x14ac:dyDescent="0.25">
      <c r="A27" t="s">
        <v>31</v>
      </c>
      <c r="B27" t="s">
        <v>42</v>
      </c>
      <c r="C27">
        <v>16396</v>
      </c>
      <c r="D27" s="5">
        <v>4.3200000000000002E-2</v>
      </c>
      <c r="E27">
        <v>5602</v>
      </c>
      <c r="F27" s="5">
        <v>0.81879999999999997</v>
      </c>
      <c r="G27">
        <v>364</v>
      </c>
      <c r="H27" s="5">
        <v>6.7999999999999996E-3</v>
      </c>
      <c r="I27">
        <v>0</v>
      </c>
      <c r="J27" s="5">
        <v>0</v>
      </c>
      <c r="K27">
        <v>1</v>
      </c>
      <c r="L27" s="5">
        <v>0</v>
      </c>
      <c r="M27">
        <v>5019</v>
      </c>
      <c r="N27">
        <v>5014</v>
      </c>
      <c r="O27">
        <v>5</v>
      </c>
      <c r="P27" s="5">
        <v>1E-3</v>
      </c>
      <c r="Q27">
        <v>122934</v>
      </c>
      <c r="R27">
        <v>22363</v>
      </c>
      <c r="S27">
        <v>15.39</v>
      </c>
      <c r="T27" t="s">
        <v>36</v>
      </c>
      <c r="U27" t="s">
        <v>29</v>
      </c>
      <c r="V27" t="s">
        <v>38</v>
      </c>
      <c r="W27">
        <v>60</v>
      </c>
    </row>
    <row r="28" spans="1:23" x14ac:dyDescent="0.25">
      <c r="A28" t="s">
        <v>34</v>
      </c>
      <c r="B28" t="s">
        <v>42</v>
      </c>
      <c r="C28">
        <v>25093</v>
      </c>
      <c r="D28" s="5">
        <v>5.96E-2</v>
      </c>
      <c r="E28">
        <v>11351</v>
      </c>
      <c r="F28" s="5">
        <v>0.89029999999999998</v>
      </c>
      <c r="G28">
        <v>1171</v>
      </c>
      <c r="H28" s="5">
        <v>2.2200000000000001E-2</v>
      </c>
      <c r="I28">
        <v>0</v>
      </c>
      <c r="J28" s="5">
        <v>0</v>
      </c>
      <c r="K28">
        <v>23</v>
      </c>
      <c r="L28" s="5">
        <v>2.9999999999999997E-4</v>
      </c>
      <c r="M28">
        <v>5399</v>
      </c>
      <c r="N28">
        <v>5399</v>
      </c>
      <c r="O28">
        <v>0</v>
      </c>
      <c r="P28" s="5">
        <v>0</v>
      </c>
      <c r="Q28">
        <v>137329</v>
      </c>
      <c r="R28">
        <v>37638</v>
      </c>
      <c r="S28">
        <v>9.69</v>
      </c>
      <c r="T28" t="s">
        <v>36</v>
      </c>
      <c r="U28" t="s">
        <v>29</v>
      </c>
      <c r="V28" t="s">
        <v>30</v>
      </c>
      <c r="W28">
        <v>69</v>
      </c>
    </row>
    <row r="29" spans="1:23" x14ac:dyDescent="0.25">
      <c r="A29" t="s">
        <v>39</v>
      </c>
      <c r="B29" t="s">
        <v>42</v>
      </c>
      <c r="C29">
        <v>15941</v>
      </c>
      <c r="D29" s="5">
        <v>7.1999999999999995E-2</v>
      </c>
      <c r="E29">
        <v>5999</v>
      </c>
      <c r="F29" s="5">
        <v>0.88070000000000004</v>
      </c>
      <c r="G29">
        <v>1159</v>
      </c>
      <c r="H29" s="5">
        <v>3.5299999999999998E-2</v>
      </c>
      <c r="I29">
        <v>0</v>
      </c>
      <c r="J29" s="5">
        <v>0</v>
      </c>
      <c r="K29">
        <v>168</v>
      </c>
      <c r="L29" s="5">
        <v>4.4999999999999997E-3</v>
      </c>
      <c r="M29">
        <v>6148</v>
      </c>
      <c r="N29">
        <v>6148</v>
      </c>
      <c r="O29">
        <v>0</v>
      </c>
      <c r="P29" s="5">
        <v>0</v>
      </c>
      <c r="Q29">
        <v>147361</v>
      </c>
      <c r="R29">
        <v>23267</v>
      </c>
      <c r="S29">
        <v>5.18</v>
      </c>
      <c r="T29" t="s">
        <v>36</v>
      </c>
      <c r="U29" t="s">
        <v>29</v>
      </c>
      <c r="V29" t="s">
        <v>30</v>
      </c>
      <c r="W29">
        <v>70</v>
      </c>
    </row>
    <row r="30" spans="1:23" x14ac:dyDescent="0.25">
      <c r="A30" t="s">
        <v>22</v>
      </c>
      <c r="B30" t="s">
        <v>43</v>
      </c>
      <c r="C30">
        <v>7558</v>
      </c>
      <c r="D30" s="5">
        <v>2.7400000000000001E-2</v>
      </c>
      <c r="E30">
        <v>16248</v>
      </c>
      <c r="F30" s="5">
        <v>0.71150000000000002</v>
      </c>
      <c r="G30">
        <v>1959</v>
      </c>
      <c r="H30" s="5">
        <v>1.3899999999999999E-2</v>
      </c>
      <c r="I30">
        <v>31</v>
      </c>
      <c r="J30" s="5">
        <v>0.10199999999999999</v>
      </c>
      <c r="K30">
        <v>19</v>
      </c>
      <c r="L30" s="5">
        <v>1E-3</v>
      </c>
      <c r="M30">
        <v>6314</v>
      </c>
      <c r="N30">
        <v>6314</v>
      </c>
      <c r="O30">
        <v>0</v>
      </c>
      <c r="P30" s="5">
        <v>0</v>
      </c>
      <c r="Q30">
        <v>322311</v>
      </c>
      <c r="R30">
        <v>25815</v>
      </c>
      <c r="S30">
        <v>8.2899999999999991</v>
      </c>
      <c r="T30" t="s">
        <v>36</v>
      </c>
      <c r="U30" t="s">
        <v>25</v>
      </c>
      <c r="V30" t="s">
        <v>30</v>
      </c>
      <c r="W30">
        <v>81</v>
      </c>
    </row>
    <row r="31" spans="1:23" x14ac:dyDescent="0.25">
      <c r="A31" t="s">
        <v>31</v>
      </c>
      <c r="B31" t="s">
        <v>43</v>
      </c>
      <c r="C31">
        <v>34596</v>
      </c>
      <c r="D31" s="5">
        <v>9.35E-2</v>
      </c>
      <c r="E31">
        <v>21623</v>
      </c>
      <c r="F31" s="5">
        <v>0.73580000000000001</v>
      </c>
      <c r="G31">
        <v>5642</v>
      </c>
      <c r="H31" s="5">
        <v>3.1E-2</v>
      </c>
      <c r="I31">
        <v>399</v>
      </c>
      <c r="J31" s="5">
        <v>0.34610000000000002</v>
      </c>
      <c r="K31">
        <v>5</v>
      </c>
      <c r="L31" s="5">
        <v>2.0000000000000001E-4</v>
      </c>
      <c r="M31">
        <v>7323</v>
      </c>
      <c r="N31">
        <v>7323</v>
      </c>
      <c r="O31">
        <v>0</v>
      </c>
      <c r="P31" s="5">
        <v>0</v>
      </c>
      <c r="Q31">
        <v>376217</v>
      </c>
      <c r="R31">
        <v>62265</v>
      </c>
      <c r="S31">
        <v>3.83</v>
      </c>
      <c r="T31" t="s">
        <v>28</v>
      </c>
      <c r="U31" t="s">
        <v>25</v>
      </c>
      <c r="V31" t="s">
        <v>30</v>
      </c>
      <c r="W31">
        <v>85</v>
      </c>
    </row>
    <row r="32" spans="1:23" x14ac:dyDescent="0.25">
      <c r="A32" t="s">
        <v>34</v>
      </c>
      <c r="B32" t="s">
        <v>43</v>
      </c>
      <c r="C32">
        <v>37522</v>
      </c>
      <c r="D32" s="5">
        <v>9.3700000000000006E-2</v>
      </c>
      <c r="E32">
        <v>26344</v>
      </c>
      <c r="F32" s="5">
        <v>0.78439999999999999</v>
      </c>
      <c r="G32">
        <v>8177</v>
      </c>
      <c r="H32" s="5">
        <v>4.1500000000000002E-2</v>
      </c>
      <c r="I32">
        <v>1121</v>
      </c>
      <c r="J32" s="5">
        <v>0.57550000000000001</v>
      </c>
      <c r="K32">
        <v>323</v>
      </c>
      <c r="L32" s="5">
        <v>1.5900000000000001E-2</v>
      </c>
      <c r="M32">
        <v>7695</v>
      </c>
      <c r="N32">
        <v>7695</v>
      </c>
      <c r="O32">
        <v>0</v>
      </c>
      <c r="P32" s="5">
        <v>0</v>
      </c>
      <c r="Q32">
        <v>430120</v>
      </c>
      <c r="R32">
        <v>73487</v>
      </c>
      <c r="S32">
        <v>3.22</v>
      </c>
      <c r="T32" t="s">
        <v>28</v>
      </c>
      <c r="U32" t="s">
        <v>25</v>
      </c>
      <c r="V32" t="s">
        <v>30</v>
      </c>
      <c r="W32">
        <v>89</v>
      </c>
    </row>
    <row r="33" spans="1:23" x14ac:dyDescent="0.25">
      <c r="A33" t="s">
        <v>39</v>
      </c>
      <c r="B33" t="s">
        <v>43</v>
      </c>
      <c r="C33">
        <v>20194</v>
      </c>
      <c r="D33" s="5">
        <v>8.5900000000000004E-2</v>
      </c>
      <c r="E33">
        <v>6698</v>
      </c>
      <c r="F33" s="5">
        <v>0.65529999999999999</v>
      </c>
      <c r="G33">
        <v>10525</v>
      </c>
      <c r="H33" s="5">
        <v>0.1091</v>
      </c>
      <c r="I33">
        <v>858</v>
      </c>
      <c r="J33" s="5">
        <v>0.66979999999999995</v>
      </c>
      <c r="K33">
        <v>690</v>
      </c>
      <c r="L33" s="5">
        <v>6.8900000000000003E-2</v>
      </c>
      <c r="M33">
        <v>7437</v>
      </c>
      <c r="N33">
        <v>7437</v>
      </c>
      <c r="O33">
        <v>0</v>
      </c>
      <c r="P33" s="5">
        <v>0</v>
      </c>
      <c r="Q33">
        <v>461910</v>
      </c>
      <c r="R33">
        <v>38965</v>
      </c>
      <c r="S33">
        <v>0.64</v>
      </c>
      <c r="T33" t="s">
        <v>24</v>
      </c>
      <c r="U33" t="s">
        <v>25</v>
      </c>
      <c r="V33" t="s">
        <v>30</v>
      </c>
      <c r="W33">
        <v>91</v>
      </c>
    </row>
    <row r="34" spans="1:23" x14ac:dyDescent="0.25">
      <c r="A34" t="s">
        <v>22</v>
      </c>
      <c r="B34" t="s">
        <v>44</v>
      </c>
      <c r="C34">
        <v>847</v>
      </c>
      <c r="D34" s="5">
        <v>2.4500000000000001E-2</v>
      </c>
      <c r="E34">
        <v>14</v>
      </c>
      <c r="F34" s="5">
        <v>0.26419999999999999</v>
      </c>
      <c r="G34">
        <v>189</v>
      </c>
      <c r="H34" s="5">
        <v>1.34E-2</v>
      </c>
      <c r="I34">
        <v>35</v>
      </c>
      <c r="J34" s="5">
        <v>0.34649999999999997</v>
      </c>
      <c r="K34">
        <v>10</v>
      </c>
      <c r="L34" s="5">
        <v>4.5999999999999999E-3</v>
      </c>
      <c r="M34">
        <v>612</v>
      </c>
      <c r="N34">
        <v>612</v>
      </c>
      <c r="O34">
        <v>0</v>
      </c>
      <c r="P34" s="5">
        <v>0</v>
      </c>
      <c r="Q34">
        <v>423047</v>
      </c>
      <c r="R34">
        <v>1095</v>
      </c>
      <c r="S34">
        <v>7.0000000000000007E-2</v>
      </c>
      <c r="T34" t="s">
        <v>24</v>
      </c>
      <c r="U34" t="s">
        <v>25</v>
      </c>
      <c r="V34" t="s">
        <v>30</v>
      </c>
      <c r="W34">
        <v>88</v>
      </c>
    </row>
    <row r="35" spans="1:23" x14ac:dyDescent="0.25">
      <c r="A35" t="s">
        <v>31</v>
      </c>
      <c r="B35" t="s">
        <v>44</v>
      </c>
      <c r="C35">
        <v>4992</v>
      </c>
      <c r="D35" s="5">
        <v>0.1024</v>
      </c>
      <c r="E35">
        <v>38</v>
      </c>
      <c r="F35" s="5">
        <v>0.39179999999999998</v>
      </c>
      <c r="G35">
        <v>624</v>
      </c>
      <c r="H35" s="5">
        <v>3.2399999999999998E-2</v>
      </c>
      <c r="I35">
        <v>17</v>
      </c>
      <c r="J35" s="5">
        <v>0.1328</v>
      </c>
      <c r="K35">
        <v>15</v>
      </c>
      <c r="L35" s="5">
        <v>5.7999999999999996E-3</v>
      </c>
      <c r="M35">
        <v>703</v>
      </c>
      <c r="N35">
        <v>701</v>
      </c>
      <c r="O35">
        <v>2</v>
      </c>
      <c r="P35" s="5">
        <v>2.8E-3</v>
      </c>
      <c r="Q35">
        <v>459094</v>
      </c>
      <c r="R35">
        <v>5686</v>
      </c>
      <c r="S35">
        <v>0.06</v>
      </c>
      <c r="T35" t="s">
        <v>24</v>
      </c>
      <c r="U35" t="s">
        <v>25</v>
      </c>
      <c r="V35" t="s">
        <v>38</v>
      </c>
      <c r="W35">
        <v>91</v>
      </c>
    </row>
    <row r="36" spans="1:23" x14ac:dyDescent="0.25">
      <c r="A36" t="s">
        <v>34</v>
      </c>
      <c r="B36" t="s">
        <v>44</v>
      </c>
      <c r="C36">
        <v>8328</v>
      </c>
      <c r="D36" s="5">
        <v>0.1575</v>
      </c>
      <c r="E36">
        <v>45</v>
      </c>
      <c r="F36" s="5">
        <v>0.30199999999999999</v>
      </c>
      <c r="G36">
        <v>962</v>
      </c>
      <c r="H36" s="5">
        <v>3.9300000000000002E-2</v>
      </c>
      <c r="I36">
        <v>45</v>
      </c>
      <c r="J36" s="5">
        <v>0.1148</v>
      </c>
      <c r="K36">
        <v>60</v>
      </c>
      <c r="L36" s="5">
        <v>1.8800000000000001E-2</v>
      </c>
      <c r="M36">
        <v>718</v>
      </c>
      <c r="N36">
        <v>718</v>
      </c>
      <c r="O36">
        <v>0</v>
      </c>
      <c r="P36" s="5">
        <v>0</v>
      </c>
      <c r="Q36">
        <v>492648</v>
      </c>
      <c r="R36">
        <v>9440</v>
      </c>
      <c r="S36">
        <v>0.05</v>
      </c>
      <c r="T36" t="s">
        <v>24</v>
      </c>
      <c r="U36" t="s">
        <v>25</v>
      </c>
      <c r="V36" t="s">
        <v>30</v>
      </c>
      <c r="W36">
        <v>93</v>
      </c>
    </row>
    <row r="37" spans="1:23" x14ac:dyDescent="0.25">
      <c r="A37" t="s">
        <v>39</v>
      </c>
      <c r="B37" t="s">
        <v>44</v>
      </c>
      <c r="C37">
        <v>4063</v>
      </c>
      <c r="D37" s="5">
        <v>0.15720000000000001</v>
      </c>
      <c r="E37">
        <v>26</v>
      </c>
      <c r="F37" s="5">
        <v>0.27079999999999999</v>
      </c>
      <c r="G37">
        <v>857</v>
      </c>
      <c r="H37" s="5">
        <v>8.3000000000000004E-2</v>
      </c>
      <c r="I37">
        <v>2</v>
      </c>
      <c r="J37" s="5">
        <v>1.44E-2</v>
      </c>
      <c r="K37">
        <v>12</v>
      </c>
      <c r="L37" s="5">
        <v>8.0000000000000002E-3</v>
      </c>
      <c r="M37">
        <v>776</v>
      </c>
      <c r="N37">
        <v>776</v>
      </c>
      <c r="O37">
        <v>0</v>
      </c>
      <c r="P37" s="5">
        <v>0</v>
      </c>
      <c r="Q37">
        <v>0</v>
      </c>
      <c r="R37">
        <v>4960</v>
      </c>
      <c r="S37">
        <v>0.03</v>
      </c>
      <c r="T37" t="s">
        <v>24</v>
      </c>
      <c r="U37" t="s">
        <v>37</v>
      </c>
      <c r="V37" t="s">
        <v>30</v>
      </c>
      <c r="W37">
        <v>60</v>
      </c>
    </row>
    <row r="38" spans="1:23" x14ac:dyDescent="0.25">
      <c r="A38" t="s">
        <v>22</v>
      </c>
      <c r="B38" t="s">
        <v>45</v>
      </c>
      <c r="C38">
        <v>7883</v>
      </c>
      <c r="D38" s="5">
        <v>9.4000000000000004E-3</v>
      </c>
      <c r="E38">
        <v>753</v>
      </c>
      <c r="F38" s="5">
        <v>3.1899999999999998E-2</v>
      </c>
      <c r="G38">
        <v>857</v>
      </c>
      <c r="H38" s="5">
        <v>3.2000000000000002E-3</v>
      </c>
      <c r="I38">
        <v>217</v>
      </c>
      <c r="J38" s="5">
        <v>0.105</v>
      </c>
      <c r="K38">
        <v>65</v>
      </c>
      <c r="L38" s="5">
        <v>5.0000000000000001E-4</v>
      </c>
      <c r="M38">
        <v>18528</v>
      </c>
      <c r="N38">
        <v>18483</v>
      </c>
      <c r="O38">
        <v>45</v>
      </c>
      <c r="P38" s="5">
        <v>2.3999999999999998E-3</v>
      </c>
      <c r="Q38">
        <v>207324</v>
      </c>
      <c r="R38">
        <v>9775</v>
      </c>
      <c r="S38">
        <v>0.88</v>
      </c>
      <c r="T38" t="s">
        <v>24</v>
      </c>
      <c r="U38" t="s">
        <v>25</v>
      </c>
      <c r="V38" t="s">
        <v>38</v>
      </c>
      <c r="W38">
        <v>57</v>
      </c>
    </row>
    <row r="39" spans="1:23" x14ac:dyDescent="0.25">
      <c r="A39" t="s">
        <v>31</v>
      </c>
      <c r="B39" t="s">
        <v>45</v>
      </c>
      <c r="C39">
        <v>64583</v>
      </c>
      <c r="D39" s="5">
        <v>6.0299999999999999E-2</v>
      </c>
      <c r="E39">
        <v>1366</v>
      </c>
      <c r="F39" s="5">
        <v>3.04E-2</v>
      </c>
      <c r="G39">
        <v>2805</v>
      </c>
      <c r="H39" s="5">
        <v>8.8999999999999999E-3</v>
      </c>
      <c r="I39">
        <v>183</v>
      </c>
      <c r="J39" s="5">
        <v>5.57E-2</v>
      </c>
      <c r="K39">
        <v>60</v>
      </c>
      <c r="L39" s="5">
        <v>5.0000000000000001E-4</v>
      </c>
      <c r="M39">
        <v>19451</v>
      </c>
      <c r="N39">
        <v>19431</v>
      </c>
      <c r="O39">
        <v>20</v>
      </c>
      <c r="P39" s="5">
        <v>1E-3</v>
      </c>
      <c r="Q39">
        <v>241584</v>
      </c>
      <c r="R39">
        <v>68997</v>
      </c>
      <c r="S39">
        <v>0.49</v>
      </c>
      <c r="T39" t="s">
        <v>24</v>
      </c>
      <c r="U39" t="s">
        <v>25</v>
      </c>
      <c r="V39" t="s">
        <v>38</v>
      </c>
      <c r="W39">
        <v>73</v>
      </c>
    </row>
    <row r="40" spans="1:23" x14ac:dyDescent="0.25">
      <c r="A40" t="s">
        <v>34</v>
      </c>
      <c r="B40" t="s">
        <v>45</v>
      </c>
      <c r="C40">
        <v>78499</v>
      </c>
      <c r="D40" s="5">
        <v>6.4899999999999999E-2</v>
      </c>
      <c r="E40">
        <v>3041</v>
      </c>
      <c r="F40" s="5">
        <v>3.9699999999999999E-2</v>
      </c>
      <c r="G40">
        <v>6573</v>
      </c>
      <c r="H40" s="5">
        <v>1.8700000000000001E-2</v>
      </c>
      <c r="I40">
        <v>106</v>
      </c>
      <c r="J40" s="5">
        <v>2.52E-2</v>
      </c>
      <c r="K40">
        <v>398</v>
      </c>
      <c r="L40" s="5">
        <v>2.2000000000000001E-3</v>
      </c>
      <c r="M40">
        <v>21464</v>
      </c>
      <c r="N40">
        <v>21382</v>
      </c>
      <c r="O40">
        <v>82</v>
      </c>
      <c r="P40" s="5">
        <v>3.8E-3</v>
      </c>
      <c r="Q40">
        <v>272451</v>
      </c>
      <c r="R40">
        <v>88617</v>
      </c>
      <c r="S40">
        <v>0.46</v>
      </c>
      <c r="T40" t="s">
        <v>24</v>
      </c>
      <c r="U40" t="s">
        <v>25</v>
      </c>
      <c r="V40" t="s">
        <v>38</v>
      </c>
      <c r="W40">
        <v>78</v>
      </c>
    </row>
    <row r="41" spans="1:23" x14ac:dyDescent="0.25">
      <c r="A41" t="s">
        <v>39</v>
      </c>
      <c r="B41" t="s">
        <v>45</v>
      </c>
      <c r="C41">
        <v>33936</v>
      </c>
      <c r="D41" s="5">
        <v>5.5800000000000002E-2</v>
      </c>
      <c r="E41">
        <v>2575</v>
      </c>
      <c r="F41" s="5">
        <v>6.4000000000000001E-2</v>
      </c>
      <c r="G41">
        <v>8508</v>
      </c>
      <c r="H41" s="5">
        <v>4.8000000000000001E-2</v>
      </c>
      <c r="I41">
        <v>387</v>
      </c>
      <c r="J41" s="5">
        <v>0.18010000000000001</v>
      </c>
      <c r="K41">
        <v>237</v>
      </c>
      <c r="L41" s="5">
        <v>3.3E-3</v>
      </c>
      <c r="M41">
        <v>24829</v>
      </c>
      <c r="N41">
        <v>24544</v>
      </c>
      <c r="O41">
        <v>285</v>
      </c>
      <c r="P41" s="5">
        <v>1.0999999999999999E-2</v>
      </c>
      <c r="Q41">
        <v>0</v>
      </c>
      <c r="R41">
        <v>45643</v>
      </c>
      <c r="S41">
        <v>0.3</v>
      </c>
      <c r="T41" t="s">
        <v>24</v>
      </c>
      <c r="U41" t="s">
        <v>37</v>
      </c>
      <c r="V41" t="s">
        <v>38</v>
      </c>
      <c r="W41">
        <v>60</v>
      </c>
    </row>
    <row r="42" spans="1:23" x14ac:dyDescent="0.25">
      <c r="A42" t="s">
        <v>22</v>
      </c>
      <c r="B42" t="s">
        <v>46</v>
      </c>
      <c r="C42">
        <v>3788</v>
      </c>
      <c r="D42" s="5">
        <v>1.04E-2</v>
      </c>
      <c r="E42">
        <v>4807</v>
      </c>
      <c r="F42" s="5">
        <v>0.43020000000000003</v>
      </c>
      <c r="G42">
        <v>60</v>
      </c>
      <c r="H42" s="5">
        <v>2.9999999999999997E-4</v>
      </c>
      <c r="I42">
        <v>0</v>
      </c>
      <c r="J42" s="5">
        <v>0</v>
      </c>
      <c r="K42">
        <v>6</v>
      </c>
      <c r="L42" s="5">
        <v>1E-4</v>
      </c>
      <c r="M42">
        <v>10982</v>
      </c>
      <c r="N42">
        <v>10982</v>
      </c>
      <c r="O42">
        <v>0</v>
      </c>
      <c r="P42" s="5">
        <v>0</v>
      </c>
      <c r="Q42">
        <v>224587</v>
      </c>
      <c r="R42">
        <v>8661</v>
      </c>
      <c r="S42">
        <v>80.12</v>
      </c>
      <c r="T42" t="s">
        <v>36</v>
      </c>
      <c r="U42" t="s">
        <v>25</v>
      </c>
      <c r="V42" t="s">
        <v>30</v>
      </c>
      <c r="W42">
        <v>51</v>
      </c>
    </row>
    <row r="43" spans="1:23" x14ac:dyDescent="0.25">
      <c r="A43" t="s">
        <v>31</v>
      </c>
      <c r="B43" t="s">
        <v>46</v>
      </c>
      <c r="C43">
        <v>11698</v>
      </c>
      <c r="D43" s="5">
        <v>2.9100000000000001E-2</v>
      </c>
      <c r="E43">
        <v>13321</v>
      </c>
      <c r="F43" s="5">
        <v>0.52690000000000003</v>
      </c>
      <c r="G43">
        <v>831</v>
      </c>
      <c r="H43" s="5">
        <v>3.8E-3</v>
      </c>
      <c r="I43">
        <v>0</v>
      </c>
      <c r="J43" s="5">
        <v>0</v>
      </c>
      <c r="K43">
        <v>9</v>
      </c>
      <c r="L43" s="5">
        <v>1E-4</v>
      </c>
      <c r="M43">
        <v>12120</v>
      </c>
      <c r="N43">
        <v>12120</v>
      </c>
      <c r="O43">
        <v>0</v>
      </c>
      <c r="P43" s="5">
        <v>0</v>
      </c>
      <c r="Q43">
        <v>264729</v>
      </c>
      <c r="R43">
        <v>25859</v>
      </c>
      <c r="S43">
        <v>16.03</v>
      </c>
      <c r="T43" t="s">
        <v>36</v>
      </c>
      <c r="U43" t="s">
        <v>25</v>
      </c>
      <c r="V43" t="s">
        <v>30</v>
      </c>
      <c r="W43">
        <v>62</v>
      </c>
    </row>
    <row r="44" spans="1:23" x14ac:dyDescent="0.25">
      <c r="A44" t="s">
        <v>34</v>
      </c>
      <c r="B44" t="s">
        <v>46</v>
      </c>
      <c r="C44">
        <v>7432</v>
      </c>
      <c r="D44" s="5">
        <v>1.7100000000000001E-2</v>
      </c>
      <c r="E44">
        <v>20321</v>
      </c>
      <c r="F44" s="5">
        <v>0.52629999999999999</v>
      </c>
      <c r="G44">
        <v>2656</v>
      </c>
      <c r="H44" s="5">
        <v>1.03E-2</v>
      </c>
      <c r="I44">
        <v>0</v>
      </c>
      <c r="J44" s="5">
        <v>0</v>
      </c>
      <c r="K44">
        <v>80</v>
      </c>
      <c r="L44" s="5">
        <v>8.0000000000000004E-4</v>
      </c>
      <c r="M44">
        <v>12768</v>
      </c>
      <c r="N44">
        <v>12768</v>
      </c>
      <c r="O44">
        <v>0</v>
      </c>
      <c r="P44" s="5">
        <v>0</v>
      </c>
      <c r="Q44">
        <v>296592</v>
      </c>
      <c r="R44">
        <v>30489</v>
      </c>
      <c r="S44">
        <v>7.65</v>
      </c>
      <c r="T44" t="s">
        <v>36</v>
      </c>
      <c r="U44" t="s">
        <v>25</v>
      </c>
      <c r="V44" t="s">
        <v>30</v>
      </c>
      <c r="W44">
        <v>80</v>
      </c>
    </row>
    <row r="45" spans="1:23" x14ac:dyDescent="0.25">
      <c r="A45" t="s">
        <v>39</v>
      </c>
      <c r="B45" t="s">
        <v>46</v>
      </c>
      <c r="C45">
        <v>6077</v>
      </c>
      <c r="D45" s="5">
        <v>2.5399999999999999E-2</v>
      </c>
      <c r="E45">
        <v>7198</v>
      </c>
      <c r="F45" s="5">
        <v>0.56489999999999996</v>
      </c>
      <c r="G45">
        <v>769</v>
      </c>
      <c r="H45" s="5">
        <v>5.1000000000000004E-3</v>
      </c>
      <c r="I45">
        <v>75</v>
      </c>
      <c r="J45" s="5">
        <v>2.4500000000000001E-2</v>
      </c>
      <c r="K45">
        <v>570</v>
      </c>
      <c r="L45" s="5">
        <v>9.1999999999999998E-3</v>
      </c>
      <c r="M45">
        <v>13088</v>
      </c>
      <c r="N45">
        <v>12844</v>
      </c>
      <c r="O45">
        <v>244</v>
      </c>
      <c r="P45" s="5">
        <v>1.9E-2</v>
      </c>
      <c r="Q45">
        <v>325759</v>
      </c>
      <c r="R45">
        <v>14689</v>
      </c>
      <c r="S45">
        <v>9.36</v>
      </c>
      <c r="T45" t="s">
        <v>36</v>
      </c>
      <c r="U45" t="s">
        <v>25</v>
      </c>
      <c r="V45" t="s">
        <v>38</v>
      </c>
      <c r="W45">
        <v>69</v>
      </c>
    </row>
    <row r="46" spans="1:23" x14ac:dyDescent="0.25">
      <c r="A46" t="s">
        <v>22</v>
      </c>
      <c r="B46" t="s">
        <v>47</v>
      </c>
      <c r="C46">
        <v>304</v>
      </c>
      <c r="D46" s="5">
        <v>5.1000000000000004E-3</v>
      </c>
      <c r="E46">
        <v>11</v>
      </c>
      <c r="F46" s="5">
        <v>6.25E-2</v>
      </c>
      <c r="G46">
        <v>12</v>
      </c>
      <c r="H46" s="5">
        <v>2.9999999999999997E-4</v>
      </c>
      <c r="I46">
        <v>0</v>
      </c>
      <c r="J46" s="5">
        <v>0</v>
      </c>
      <c r="K46">
        <v>0</v>
      </c>
      <c r="L46" s="5">
        <v>0</v>
      </c>
      <c r="M46">
        <v>1932</v>
      </c>
      <c r="N46">
        <v>1932</v>
      </c>
      <c r="O46">
        <v>0</v>
      </c>
      <c r="P46" s="5">
        <v>0</v>
      </c>
      <c r="Q46">
        <v>173152</v>
      </c>
      <c r="R46">
        <v>327</v>
      </c>
      <c r="S46">
        <v>0.92</v>
      </c>
      <c r="T46" t="s">
        <v>24</v>
      </c>
      <c r="U46" t="s">
        <v>29</v>
      </c>
      <c r="V46" t="s">
        <v>30</v>
      </c>
      <c r="W46">
        <v>47</v>
      </c>
    </row>
    <row r="47" spans="1:23" x14ac:dyDescent="0.25">
      <c r="A47" t="s">
        <v>31</v>
      </c>
      <c r="B47" t="s">
        <v>47</v>
      </c>
      <c r="C47">
        <v>945</v>
      </c>
      <c r="D47" s="5">
        <v>1.5100000000000001E-2</v>
      </c>
      <c r="E47">
        <v>18</v>
      </c>
      <c r="F47" s="5">
        <v>5.6599999999999998E-2</v>
      </c>
      <c r="G47">
        <v>43</v>
      </c>
      <c r="H47" s="5">
        <v>1E-3</v>
      </c>
      <c r="I47">
        <v>0</v>
      </c>
      <c r="J47" s="5">
        <v>0</v>
      </c>
      <c r="K47">
        <v>2</v>
      </c>
      <c r="L47" s="5">
        <v>2.0000000000000001E-4</v>
      </c>
      <c r="M47">
        <v>2030</v>
      </c>
      <c r="N47">
        <v>2030</v>
      </c>
      <c r="O47">
        <v>0</v>
      </c>
      <c r="P47" s="5">
        <v>0</v>
      </c>
      <c r="Q47">
        <v>195795</v>
      </c>
      <c r="R47">
        <v>1008</v>
      </c>
      <c r="S47">
        <v>0.42</v>
      </c>
      <c r="T47" t="s">
        <v>24</v>
      </c>
      <c r="U47" t="s">
        <v>29</v>
      </c>
      <c r="V47" t="s">
        <v>30</v>
      </c>
      <c r="W47">
        <v>51</v>
      </c>
    </row>
    <row r="48" spans="1:23" x14ac:dyDescent="0.25">
      <c r="A48" t="s">
        <v>34</v>
      </c>
      <c r="B48" t="s">
        <v>47</v>
      </c>
      <c r="C48">
        <v>887</v>
      </c>
      <c r="D48" s="5">
        <v>1.34E-2</v>
      </c>
      <c r="E48">
        <v>39</v>
      </c>
      <c r="F48" s="5">
        <v>9.3299999999999994E-2</v>
      </c>
      <c r="G48">
        <v>152</v>
      </c>
      <c r="H48" s="5">
        <v>3.2000000000000002E-3</v>
      </c>
      <c r="I48">
        <v>35</v>
      </c>
      <c r="J48" s="5">
        <v>3.5999999999999997E-2</v>
      </c>
      <c r="K48">
        <v>13</v>
      </c>
      <c r="L48" s="5">
        <v>1E-3</v>
      </c>
      <c r="M48">
        <v>2071</v>
      </c>
      <c r="N48">
        <v>2071</v>
      </c>
      <c r="O48">
        <v>0</v>
      </c>
      <c r="P48" s="5">
        <v>0</v>
      </c>
      <c r="Q48">
        <v>218788</v>
      </c>
      <c r="R48">
        <v>1126</v>
      </c>
      <c r="S48">
        <v>0.26</v>
      </c>
      <c r="T48" t="s">
        <v>24</v>
      </c>
      <c r="U48" t="s">
        <v>25</v>
      </c>
      <c r="V48" t="s">
        <v>30</v>
      </c>
      <c r="W48">
        <v>58</v>
      </c>
    </row>
    <row r="49" spans="1:23" x14ac:dyDescent="0.25">
      <c r="A49" t="s">
        <v>39</v>
      </c>
      <c r="B49" t="s">
        <v>47</v>
      </c>
      <c r="C49">
        <v>486</v>
      </c>
      <c r="D49" s="5">
        <v>1.47E-2</v>
      </c>
      <c r="E49">
        <v>32</v>
      </c>
      <c r="F49" s="5">
        <v>0.4</v>
      </c>
      <c r="G49">
        <v>336</v>
      </c>
      <c r="H49" s="5">
        <v>1.17E-2</v>
      </c>
      <c r="I49">
        <v>0</v>
      </c>
      <c r="J49" s="5">
        <v>0</v>
      </c>
      <c r="K49">
        <v>22</v>
      </c>
      <c r="L49" s="5">
        <v>3.2000000000000002E-3</v>
      </c>
      <c r="M49">
        <v>2181</v>
      </c>
      <c r="N49">
        <v>2181</v>
      </c>
      <c r="O49">
        <v>0</v>
      </c>
      <c r="P49" s="5">
        <v>0</v>
      </c>
      <c r="Q49">
        <v>235199</v>
      </c>
      <c r="R49">
        <v>876</v>
      </c>
      <c r="S49">
        <v>0.1</v>
      </c>
      <c r="T49" t="s">
        <v>24</v>
      </c>
      <c r="U49" t="s">
        <v>25</v>
      </c>
      <c r="V49" t="s">
        <v>30</v>
      </c>
      <c r="W49">
        <v>76</v>
      </c>
    </row>
    <row r="50" spans="1:23" x14ac:dyDescent="0.25">
      <c r="A50" t="s">
        <v>22</v>
      </c>
      <c r="B50" t="s">
        <v>48</v>
      </c>
      <c r="C50">
        <v>1130</v>
      </c>
      <c r="D50" s="5">
        <v>1.3899999999999999E-2</v>
      </c>
      <c r="E50">
        <v>11</v>
      </c>
      <c r="F50" s="5">
        <v>2.8E-3</v>
      </c>
      <c r="G50">
        <v>5</v>
      </c>
      <c r="H50" s="5">
        <v>1E-4</v>
      </c>
      <c r="I50">
        <v>0</v>
      </c>
      <c r="J50" s="5">
        <v>0</v>
      </c>
      <c r="K50">
        <v>0</v>
      </c>
      <c r="L50" s="5">
        <v>0</v>
      </c>
      <c r="M50">
        <v>3280</v>
      </c>
      <c r="N50">
        <v>2680</v>
      </c>
      <c r="O50">
        <v>600</v>
      </c>
      <c r="P50" s="5">
        <v>0.18290000000000001</v>
      </c>
      <c r="Q50">
        <v>101645</v>
      </c>
      <c r="R50">
        <v>1146</v>
      </c>
      <c r="S50">
        <v>2.2000000000000002</v>
      </c>
      <c r="T50" t="s">
        <v>28</v>
      </c>
      <c r="U50" t="s">
        <v>29</v>
      </c>
      <c r="V50" t="s">
        <v>26</v>
      </c>
      <c r="W50">
        <v>36</v>
      </c>
    </row>
    <row r="51" spans="1:23" x14ac:dyDescent="0.25">
      <c r="A51" t="s">
        <v>31</v>
      </c>
      <c r="B51" t="s">
        <v>48</v>
      </c>
      <c r="C51">
        <v>2132</v>
      </c>
      <c r="D51" s="5">
        <v>2.5399999999999999E-2</v>
      </c>
      <c r="E51">
        <v>2508</v>
      </c>
      <c r="F51" s="5">
        <v>0.38690000000000002</v>
      </c>
      <c r="G51">
        <v>48</v>
      </c>
      <c r="H51" s="5">
        <v>8.9999999999999998E-4</v>
      </c>
      <c r="I51">
        <v>2</v>
      </c>
      <c r="J51" s="5">
        <v>3.0999999999999999E-3</v>
      </c>
      <c r="K51">
        <v>0</v>
      </c>
      <c r="L51" s="5">
        <v>0</v>
      </c>
      <c r="M51">
        <v>3076</v>
      </c>
      <c r="N51">
        <v>2826</v>
      </c>
      <c r="O51">
        <v>250</v>
      </c>
      <c r="P51" s="5">
        <v>8.1299999999999997E-2</v>
      </c>
      <c r="Q51">
        <v>112898</v>
      </c>
      <c r="R51">
        <v>4690</v>
      </c>
      <c r="S51">
        <v>52.25</v>
      </c>
      <c r="T51" t="s">
        <v>36</v>
      </c>
      <c r="U51" t="s">
        <v>29</v>
      </c>
      <c r="V51" t="s">
        <v>26</v>
      </c>
      <c r="W51">
        <v>42</v>
      </c>
    </row>
    <row r="52" spans="1:23" x14ac:dyDescent="0.25">
      <c r="A52" t="s">
        <v>34</v>
      </c>
      <c r="B52" t="s">
        <v>48</v>
      </c>
      <c r="C52">
        <v>1828</v>
      </c>
      <c r="D52" s="5">
        <v>2.1600000000000001E-2</v>
      </c>
      <c r="E52">
        <v>7599</v>
      </c>
      <c r="F52" s="5">
        <v>0.66590000000000005</v>
      </c>
      <c r="G52">
        <v>143</v>
      </c>
      <c r="H52" s="5">
        <v>2.5999999999999999E-3</v>
      </c>
      <c r="I52">
        <v>150</v>
      </c>
      <c r="J52" s="5">
        <v>8.6499999999999994E-2</v>
      </c>
      <c r="K52">
        <v>0</v>
      </c>
      <c r="L52" s="5">
        <v>0</v>
      </c>
      <c r="M52">
        <v>3137</v>
      </c>
      <c r="N52">
        <v>2967</v>
      </c>
      <c r="O52">
        <v>170</v>
      </c>
      <c r="P52" s="5">
        <v>5.4199999999999998E-2</v>
      </c>
      <c r="Q52">
        <v>130492</v>
      </c>
      <c r="R52">
        <v>9720</v>
      </c>
      <c r="S52">
        <v>53.14</v>
      </c>
      <c r="T52" t="s">
        <v>36</v>
      </c>
      <c r="U52" t="s">
        <v>29</v>
      </c>
      <c r="V52" t="s">
        <v>26</v>
      </c>
      <c r="W52">
        <v>48</v>
      </c>
    </row>
    <row r="53" spans="1:23" x14ac:dyDescent="0.25">
      <c r="A53" t="s">
        <v>39</v>
      </c>
      <c r="B53" t="s">
        <v>48</v>
      </c>
      <c r="C53">
        <v>1633</v>
      </c>
      <c r="D53" s="5">
        <v>3.6700000000000003E-2</v>
      </c>
      <c r="E53">
        <v>4320</v>
      </c>
      <c r="F53" s="5">
        <v>0.65390000000000004</v>
      </c>
      <c r="G53">
        <v>304</v>
      </c>
      <c r="H53" s="5">
        <v>9.7999999999999997E-3</v>
      </c>
      <c r="I53">
        <v>0</v>
      </c>
      <c r="J53" s="5">
        <v>0</v>
      </c>
      <c r="K53">
        <v>20</v>
      </c>
      <c r="L53" s="5">
        <v>2.7000000000000001E-3</v>
      </c>
      <c r="M53">
        <v>3181</v>
      </c>
      <c r="N53">
        <v>3133</v>
      </c>
      <c r="O53">
        <v>48</v>
      </c>
      <c r="P53" s="5">
        <v>1.4999999999999999E-2</v>
      </c>
      <c r="Q53">
        <v>142138</v>
      </c>
      <c r="R53">
        <v>6277</v>
      </c>
      <c r="S53">
        <v>14.21</v>
      </c>
      <c r="T53" t="s">
        <v>36</v>
      </c>
      <c r="U53" t="s">
        <v>29</v>
      </c>
      <c r="V53" t="s">
        <v>38</v>
      </c>
      <c r="W53">
        <v>68</v>
      </c>
    </row>
    <row r="54" spans="1:23" x14ac:dyDescent="0.25">
      <c r="A54" t="s">
        <v>22</v>
      </c>
      <c r="B54" t="s">
        <v>49</v>
      </c>
      <c r="C54">
        <v>1672</v>
      </c>
      <c r="D54" s="5">
        <v>4.4000000000000003E-3</v>
      </c>
      <c r="E54">
        <v>2019</v>
      </c>
      <c r="F54" s="5">
        <v>0.20219999999999999</v>
      </c>
      <c r="G54">
        <v>48</v>
      </c>
      <c r="H54" s="5">
        <v>8.0000000000000004E-4</v>
      </c>
      <c r="I54">
        <v>0</v>
      </c>
      <c r="J54" s="5">
        <v>0</v>
      </c>
      <c r="K54">
        <v>2</v>
      </c>
      <c r="L54" s="5">
        <v>1E-4</v>
      </c>
      <c r="M54">
        <v>1651</v>
      </c>
      <c r="N54">
        <v>1527</v>
      </c>
      <c r="O54">
        <v>124</v>
      </c>
      <c r="P54" s="5">
        <v>7.51E-2</v>
      </c>
      <c r="Q54">
        <v>69963</v>
      </c>
      <c r="R54">
        <v>3741</v>
      </c>
      <c r="S54">
        <v>42.06</v>
      </c>
      <c r="T54" t="s">
        <v>36</v>
      </c>
      <c r="U54" t="s">
        <v>37</v>
      </c>
      <c r="V54" t="s">
        <v>26</v>
      </c>
      <c r="W54">
        <v>39</v>
      </c>
    </row>
    <row r="55" spans="1:23" x14ac:dyDescent="0.25">
      <c r="A55" t="s">
        <v>31</v>
      </c>
      <c r="B55" t="s">
        <v>49</v>
      </c>
      <c r="C55">
        <v>6730</v>
      </c>
      <c r="D55" s="5">
        <v>1.7000000000000001E-2</v>
      </c>
      <c r="E55">
        <v>6794</v>
      </c>
      <c r="F55" s="5">
        <v>0.43969999999999998</v>
      </c>
      <c r="G55">
        <v>157</v>
      </c>
      <c r="H55" s="5">
        <v>2.8999999999999998E-3</v>
      </c>
      <c r="I55">
        <v>0</v>
      </c>
      <c r="J55" s="5">
        <v>0</v>
      </c>
      <c r="K55">
        <v>0</v>
      </c>
      <c r="L55" s="5">
        <v>0</v>
      </c>
      <c r="M55">
        <v>1887</v>
      </c>
      <c r="N55">
        <v>1611</v>
      </c>
      <c r="O55">
        <v>276</v>
      </c>
      <c r="P55" s="5">
        <v>0.14630000000000001</v>
      </c>
      <c r="Q55">
        <v>88500</v>
      </c>
      <c r="R55">
        <v>13681</v>
      </c>
      <c r="S55">
        <v>43.27</v>
      </c>
      <c r="T55" t="s">
        <v>36</v>
      </c>
      <c r="U55" t="s">
        <v>37</v>
      </c>
      <c r="V55" t="s">
        <v>26</v>
      </c>
      <c r="W55">
        <v>43</v>
      </c>
    </row>
    <row r="56" spans="1:23" x14ac:dyDescent="0.25">
      <c r="A56" t="s">
        <v>34</v>
      </c>
      <c r="B56" t="s">
        <v>49</v>
      </c>
      <c r="C56">
        <v>7400</v>
      </c>
      <c r="D56" s="5">
        <v>1.7100000000000001E-2</v>
      </c>
      <c r="E56">
        <v>13225</v>
      </c>
      <c r="F56" s="5">
        <v>0.57869999999999999</v>
      </c>
      <c r="G56">
        <v>452</v>
      </c>
      <c r="H56" s="5">
        <v>8.0999999999999996E-3</v>
      </c>
      <c r="I56">
        <v>2</v>
      </c>
      <c r="J56" s="5">
        <v>1.6000000000000001E-3</v>
      </c>
      <c r="K56">
        <v>18</v>
      </c>
      <c r="L56" s="5">
        <v>5.9999999999999995E-4</v>
      </c>
      <c r="M56">
        <v>2253</v>
      </c>
      <c r="N56">
        <v>1918</v>
      </c>
      <c r="O56">
        <v>336</v>
      </c>
      <c r="P56" s="5">
        <v>0.1489</v>
      </c>
      <c r="Q56">
        <v>96449</v>
      </c>
      <c r="R56">
        <v>21097</v>
      </c>
      <c r="S56">
        <v>29.26</v>
      </c>
      <c r="T56" t="s">
        <v>36</v>
      </c>
      <c r="U56" t="s">
        <v>37</v>
      </c>
      <c r="V56" t="s">
        <v>26</v>
      </c>
      <c r="W56">
        <v>56</v>
      </c>
    </row>
    <row r="57" spans="1:23" x14ac:dyDescent="0.25">
      <c r="A57" t="s">
        <v>39</v>
      </c>
      <c r="B57" t="s">
        <v>49</v>
      </c>
      <c r="C57">
        <v>6016</v>
      </c>
      <c r="D57" s="5">
        <v>2.53E-2</v>
      </c>
      <c r="E57">
        <v>9830</v>
      </c>
      <c r="F57" s="5">
        <v>0.67759999999999998</v>
      </c>
      <c r="G57">
        <v>409</v>
      </c>
      <c r="H57" s="5">
        <v>1.2E-2</v>
      </c>
      <c r="I57">
        <v>2</v>
      </c>
      <c r="J57" s="5">
        <v>3.7000000000000002E-3</v>
      </c>
      <c r="K57">
        <v>76</v>
      </c>
      <c r="L57" s="5">
        <v>4.5999999999999999E-3</v>
      </c>
      <c r="M57">
        <v>2193</v>
      </c>
      <c r="N57">
        <v>2020</v>
      </c>
      <c r="O57">
        <v>173</v>
      </c>
      <c r="P57" s="5">
        <v>7.9000000000000001E-2</v>
      </c>
      <c r="Q57">
        <v>105274</v>
      </c>
      <c r="R57">
        <v>16333</v>
      </c>
      <c r="S57">
        <v>24.03</v>
      </c>
      <c r="T57" t="s">
        <v>36</v>
      </c>
      <c r="U57" t="s">
        <v>29</v>
      </c>
      <c r="V57" t="s">
        <v>26</v>
      </c>
      <c r="W57">
        <v>64</v>
      </c>
    </row>
    <row r="58" spans="1:23" x14ac:dyDescent="0.25">
      <c r="A58" t="s">
        <v>22</v>
      </c>
      <c r="B58" t="s">
        <v>50</v>
      </c>
      <c r="C58">
        <v>29612</v>
      </c>
      <c r="D58" s="5">
        <v>3.5900000000000001E-2</v>
      </c>
      <c r="E58">
        <v>2146</v>
      </c>
      <c r="F58" s="5">
        <v>0.1195</v>
      </c>
      <c r="G58">
        <v>1487</v>
      </c>
      <c r="H58" s="5">
        <v>7.0000000000000001E-3</v>
      </c>
      <c r="I58">
        <v>27</v>
      </c>
      <c r="J58" s="5">
        <v>2.63E-2</v>
      </c>
      <c r="K58">
        <v>42</v>
      </c>
      <c r="L58" s="5">
        <v>2.9999999999999997E-4</v>
      </c>
      <c r="M58">
        <v>14367</v>
      </c>
      <c r="N58">
        <v>14367</v>
      </c>
      <c r="O58">
        <v>0</v>
      </c>
      <c r="P58" s="5">
        <v>0</v>
      </c>
      <c r="Q58">
        <v>221781</v>
      </c>
      <c r="R58">
        <v>33314</v>
      </c>
      <c r="S58">
        <v>1.44</v>
      </c>
      <c r="T58" t="s">
        <v>24</v>
      </c>
      <c r="U58" t="s">
        <v>25</v>
      </c>
      <c r="V58" t="s">
        <v>30</v>
      </c>
      <c r="W58">
        <v>67</v>
      </c>
    </row>
    <row r="59" spans="1:23" x14ac:dyDescent="0.25">
      <c r="A59" t="s">
        <v>31</v>
      </c>
      <c r="B59" t="s">
        <v>50</v>
      </c>
      <c r="C59">
        <v>86916</v>
      </c>
      <c r="D59" s="5">
        <v>8.1000000000000003E-2</v>
      </c>
      <c r="E59">
        <v>4305</v>
      </c>
      <c r="F59" s="5">
        <v>0.1396</v>
      </c>
      <c r="G59">
        <v>4331</v>
      </c>
      <c r="H59" s="5">
        <v>1.61E-2</v>
      </c>
      <c r="I59">
        <v>364</v>
      </c>
      <c r="J59" s="5">
        <v>7.9699999999999993E-2</v>
      </c>
      <c r="K59">
        <v>18</v>
      </c>
      <c r="L59" s="5">
        <v>1E-4</v>
      </c>
      <c r="M59">
        <v>14830</v>
      </c>
      <c r="N59">
        <v>14818</v>
      </c>
      <c r="O59">
        <v>12</v>
      </c>
      <c r="P59" s="5">
        <v>8.0000000000000004E-4</v>
      </c>
      <c r="Q59">
        <v>266866</v>
      </c>
      <c r="R59">
        <v>95934</v>
      </c>
      <c r="S59">
        <v>0.99</v>
      </c>
      <c r="T59" t="s">
        <v>24</v>
      </c>
      <c r="U59" t="s">
        <v>25</v>
      </c>
      <c r="V59" t="s">
        <v>38</v>
      </c>
      <c r="W59">
        <v>78</v>
      </c>
    </row>
    <row r="60" spans="1:23" x14ac:dyDescent="0.25">
      <c r="A60" t="s">
        <v>34</v>
      </c>
      <c r="B60" t="s">
        <v>50</v>
      </c>
      <c r="C60">
        <v>133640</v>
      </c>
      <c r="D60" s="5">
        <v>0.1096</v>
      </c>
      <c r="E60">
        <v>5437</v>
      </c>
      <c r="F60" s="5">
        <v>9.1800000000000007E-2</v>
      </c>
      <c r="G60">
        <v>11658</v>
      </c>
      <c r="H60" s="5">
        <v>3.9399999999999998E-2</v>
      </c>
      <c r="I60">
        <v>280</v>
      </c>
      <c r="J60" s="5">
        <v>4.24E-2</v>
      </c>
      <c r="K60">
        <v>257</v>
      </c>
      <c r="L60" s="5">
        <v>1.6999999999999999E-3</v>
      </c>
      <c r="M60">
        <v>15828</v>
      </c>
      <c r="N60">
        <v>15828</v>
      </c>
      <c r="O60">
        <v>0</v>
      </c>
      <c r="P60" s="5">
        <v>0</v>
      </c>
      <c r="Q60">
        <v>304474</v>
      </c>
      <c r="R60">
        <v>151272</v>
      </c>
      <c r="S60">
        <v>0.47</v>
      </c>
      <c r="T60" t="s">
        <v>24</v>
      </c>
      <c r="U60" t="s">
        <v>25</v>
      </c>
      <c r="V60" t="s">
        <v>30</v>
      </c>
      <c r="W60">
        <v>80</v>
      </c>
    </row>
    <row r="61" spans="1:23" x14ac:dyDescent="0.25">
      <c r="A61" t="s">
        <v>39</v>
      </c>
      <c r="B61" t="s">
        <v>50</v>
      </c>
      <c r="C61">
        <v>97894</v>
      </c>
      <c r="D61" s="5">
        <v>0.1527</v>
      </c>
      <c r="E61">
        <v>4175</v>
      </c>
      <c r="F61" s="5">
        <v>0.13220000000000001</v>
      </c>
      <c r="G61">
        <v>11642</v>
      </c>
      <c r="H61" s="5">
        <v>7.3700000000000002E-2</v>
      </c>
      <c r="I61">
        <v>40</v>
      </c>
      <c r="J61" s="5">
        <v>1.17E-2</v>
      </c>
      <c r="K61">
        <v>904</v>
      </c>
      <c r="L61" s="5">
        <v>1.18E-2</v>
      </c>
      <c r="M61">
        <v>17212</v>
      </c>
      <c r="N61">
        <v>17212</v>
      </c>
      <c r="O61">
        <v>0</v>
      </c>
      <c r="P61" s="5">
        <v>0</v>
      </c>
      <c r="Q61">
        <v>332926</v>
      </c>
      <c r="R61">
        <v>114655</v>
      </c>
      <c r="S61">
        <v>0.36</v>
      </c>
      <c r="T61" t="s">
        <v>24</v>
      </c>
      <c r="U61" t="s">
        <v>25</v>
      </c>
      <c r="V61" t="s">
        <v>30</v>
      </c>
      <c r="W61">
        <v>82</v>
      </c>
    </row>
    <row r="62" spans="1:23" x14ac:dyDescent="0.25">
      <c r="A62" t="s">
        <v>22</v>
      </c>
      <c r="B62" t="s">
        <v>51</v>
      </c>
      <c r="C62">
        <v>5879</v>
      </c>
      <c r="D62" s="5">
        <v>1.14E-2</v>
      </c>
      <c r="E62">
        <v>1276</v>
      </c>
      <c r="F62" s="5">
        <v>9.64E-2</v>
      </c>
      <c r="G62">
        <v>1644</v>
      </c>
      <c r="H62" s="5">
        <v>7.7999999999999996E-3</v>
      </c>
      <c r="I62">
        <v>0</v>
      </c>
      <c r="J62" s="5">
        <v>0</v>
      </c>
      <c r="K62">
        <v>2</v>
      </c>
      <c r="L62" s="5">
        <v>1E-4</v>
      </c>
      <c r="M62">
        <v>4275</v>
      </c>
      <c r="N62">
        <v>4269</v>
      </c>
      <c r="O62">
        <v>6</v>
      </c>
      <c r="P62" s="5">
        <v>1.4E-3</v>
      </c>
      <c r="Q62">
        <v>194432</v>
      </c>
      <c r="R62">
        <v>8801</v>
      </c>
      <c r="S62">
        <v>0.78</v>
      </c>
      <c r="T62" t="s">
        <v>24</v>
      </c>
      <c r="U62" t="s">
        <v>29</v>
      </c>
      <c r="V62" t="s">
        <v>38</v>
      </c>
      <c r="W62">
        <v>67</v>
      </c>
    </row>
    <row r="63" spans="1:23" x14ac:dyDescent="0.25">
      <c r="A63" t="s">
        <v>31</v>
      </c>
      <c r="B63" t="s">
        <v>51</v>
      </c>
      <c r="C63">
        <v>33437</v>
      </c>
      <c r="D63" s="5">
        <v>6.2899999999999998E-2</v>
      </c>
      <c r="E63">
        <v>2367</v>
      </c>
      <c r="F63" s="5">
        <v>0.1217</v>
      </c>
      <c r="G63">
        <v>3821</v>
      </c>
      <c r="H63" s="5">
        <v>1.9E-2</v>
      </c>
      <c r="I63">
        <v>40</v>
      </c>
      <c r="J63" s="5">
        <v>1.6899999999999998E-2</v>
      </c>
      <c r="K63">
        <v>6</v>
      </c>
      <c r="L63" s="5">
        <v>2.0000000000000001E-4</v>
      </c>
      <c r="M63">
        <v>4374</v>
      </c>
      <c r="N63">
        <v>4364</v>
      </c>
      <c r="O63">
        <v>10</v>
      </c>
      <c r="P63" s="5">
        <v>2.3E-3</v>
      </c>
      <c r="Q63">
        <v>230280</v>
      </c>
      <c r="R63">
        <v>39671</v>
      </c>
      <c r="S63">
        <v>0.62</v>
      </c>
      <c r="T63" t="s">
        <v>24</v>
      </c>
      <c r="U63" t="s">
        <v>25</v>
      </c>
      <c r="V63" t="s">
        <v>38</v>
      </c>
      <c r="W63">
        <v>75</v>
      </c>
    </row>
    <row r="64" spans="1:23" x14ac:dyDescent="0.25">
      <c r="A64" t="s">
        <v>34</v>
      </c>
      <c r="B64" t="s">
        <v>51</v>
      </c>
      <c r="C64">
        <v>61528</v>
      </c>
      <c r="D64" s="5">
        <v>0.1258</v>
      </c>
      <c r="E64">
        <v>4070</v>
      </c>
      <c r="F64" s="5">
        <v>0.12429999999999999</v>
      </c>
      <c r="G64">
        <v>8988</v>
      </c>
      <c r="H64" s="5">
        <v>4.7399999999999998E-2</v>
      </c>
      <c r="I64">
        <v>70</v>
      </c>
      <c r="J64" s="5">
        <v>1.44E-2</v>
      </c>
      <c r="K64">
        <v>58</v>
      </c>
      <c r="L64" s="5">
        <v>2.0999999999999999E-3</v>
      </c>
      <c r="M64">
        <v>4699</v>
      </c>
      <c r="N64">
        <v>4370</v>
      </c>
      <c r="O64">
        <v>329</v>
      </c>
      <c r="P64" s="5">
        <v>7.0000000000000007E-2</v>
      </c>
      <c r="Q64">
        <v>252662</v>
      </c>
      <c r="R64">
        <v>74714</v>
      </c>
      <c r="S64">
        <v>0.45</v>
      </c>
      <c r="T64" t="s">
        <v>24</v>
      </c>
      <c r="U64" t="s">
        <v>25</v>
      </c>
      <c r="V64" t="s">
        <v>26</v>
      </c>
      <c r="W64">
        <v>74</v>
      </c>
    </row>
    <row r="65" spans="1:23" x14ac:dyDescent="0.25">
      <c r="A65" t="s">
        <v>39</v>
      </c>
      <c r="B65" t="s">
        <v>51</v>
      </c>
      <c r="C65">
        <v>42451</v>
      </c>
      <c r="D65" s="5">
        <v>0.15709999999999999</v>
      </c>
      <c r="E65">
        <v>4091</v>
      </c>
      <c r="F65" s="5">
        <v>0.22950000000000001</v>
      </c>
      <c r="G65">
        <v>6849</v>
      </c>
      <c r="H65" s="5">
        <v>7.5999999999999998E-2</v>
      </c>
      <c r="I65">
        <v>3</v>
      </c>
      <c r="J65" s="5">
        <v>1.1000000000000001E-3</v>
      </c>
      <c r="K65">
        <v>320</v>
      </c>
      <c r="L65" s="5">
        <v>2.2100000000000002E-2</v>
      </c>
      <c r="M65">
        <v>5284</v>
      </c>
      <c r="N65">
        <v>5284</v>
      </c>
      <c r="O65">
        <v>0</v>
      </c>
      <c r="P65" s="5">
        <v>0</v>
      </c>
      <c r="Q65">
        <v>281001</v>
      </c>
      <c r="R65">
        <v>53714</v>
      </c>
      <c r="S65">
        <v>0.6</v>
      </c>
      <c r="T65" t="s">
        <v>24</v>
      </c>
      <c r="U65" t="s">
        <v>25</v>
      </c>
      <c r="V65" t="s">
        <v>30</v>
      </c>
      <c r="W65">
        <v>79</v>
      </c>
    </row>
    <row r="66" spans="1:23" x14ac:dyDescent="0.25">
      <c r="A66" t="s">
        <v>22</v>
      </c>
      <c r="B66" t="s">
        <v>52</v>
      </c>
      <c r="C66">
        <v>5102</v>
      </c>
      <c r="D66" s="5">
        <v>5.7999999999999996E-3</v>
      </c>
      <c r="E66">
        <v>5133</v>
      </c>
      <c r="F66" s="5">
        <v>0.35599999999999998</v>
      </c>
      <c r="G66">
        <v>192</v>
      </c>
      <c r="H66" s="5">
        <v>1.5E-3</v>
      </c>
      <c r="I66">
        <v>0</v>
      </c>
      <c r="J66" s="5">
        <v>0</v>
      </c>
      <c r="K66">
        <v>0</v>
      </c>
      <c r="L66" s="5">
        <v>0</v>
      </c>
      <c r="M66">
        <v>15756</v>
      </c>
      <c r="N66">
        <v>15668</v>
      </c>
      <c r="O66">
        <v>88</v>
      </c>
      <c r="P66" s="5">
        <v>5.5999999999999999E-3</v>
      </c>
      <c r="Q66">
        <v>102007</v>
      </c>
      <c r="R66">
        <v>10427</v>
      </c>
      <c r="S66">
        <v>26.73</v>
      </c>
      <c r="T66" t="s">
        <v>36</v>
      </c>
      <c r="U66" t="s">
        <v>29</v>
      </c>
      <c r="V66" t="s">
        <v>38</v>
      </c>
      <c r="W66">
        <v>45</v>
      </c>
    </row>
    <row r="67" spans="1:23" x14ac:dyDescent="0.25">
      <c r="A67" t="s">
        <v>31</v>
      </c>
      <c r="B67" t="s">
        <v>52</v>
      </c>
      <c r="C67">
        <v>22418</v>
      </c>
      <c r="D67" s="5">
        <v>2.1600000000000001E-2</v>
      </c>
      <c r="E67">
        <v>13825</v>
      </c>
      <c r="F67" s="5">
        <v>0.49809999999999999</v>
      </c>
      <c r="G67">
        <v>534</v>
      </c>
      <c r="H67" s="5">
        <v>3.3999999999999998E-3</v>
      </c>
      <c r="I67">
        <v>20</v>
      </c>
      <c r="J67" s="5">
        <v>6.7999999999999996E-3</v>
      </c>
      <c r="K67">
        <v>0</v>
      </c>
      <c r="L67" s="5">
        <v>0</v>
      </c>
      <c r="M67">
        <v>15917</v>
      </c>
      <c r="N67">
        <v>15917</v>
      </c>
      <c r="O67">
        <v>0</v>
      </c>
      <c r="P67" s="5">
        <v>0</v>
      </c>
      <c r="Q67">
        <v>116689</v>
      </c>
      <c r="R67">
        <v>36797</v>
      </c>
      <c r="S67">
        <v>25.89</v>
      </c>
      <c r="T67" t="s">
        <v>36</v>
      </c>
      <c r="U67" t="s">
        <v>29</v>
      </c>
      <c r="V67" t="s">
        <v>30</v>
      </c>
      <c r="W67">
        <v>51</v>
      </c>
    </row>
    <row r="68" spans="1:23" x14ac:dyDescent="0.25">
      <c r="A68" t="s">
        <v>34</v>
      </c>
      <c r="B68" t="s">
        <v>52</v>
      </c>
      <c r="C68">
        <v>36226</v>
      </c>
      <c r="D68" s="5">
        <v>3.27E-2</v>
      </c>
      <c r="E68">
        <v>29292</v>
      </c>
      <c r="F68" s="5">
        <v>0.58340000000000003</v>
      </c>
      <c r="G68">
        <v>1460</v>
      </c>
      <c r="H68" s="5">
        <v>9.1999999999999998E-3</v>
      </c>
      <c r="I68">
        <v>15</v>
      </c>
      <c r="J68" s="5">
        <v>4.1999999999999997E-3</v>
      </c>
      <c r="K68">
        <v>58</v>
      </c>
      <c r="L68" s="5">
        <v>4.0000000000000002E-4</v>
      </c>
      <c r="M68">
        <v>17347</v>
      </c>
      <c r="N68">
        <v>17238</v>
      </c>
      <c r="O68">
        <v>109</v>
      </c>
      <c r="P68" s="5">
        <v>6.3E-3</v>
      </c>
      <c r="Q68">
        <v>132010</v>
      </c>
      <c r="R68">
        <v>67051</v>
      </c>
      <c r="S68">
        <v>20.059999999999999</v>
      </c>
      <c r="T68" t="s">
        <v>36</v>
      </c>
      <c r="U68" t="s">
        <v>29</v>
      </c>
      <c r="V68" t="s">
        <v>38</v>
      </c>
      <c r="W68">
        <v>67</v>
      </c>
    </row>
    <row r="69" spans="1:23" x14ac:dyDescent="0.25">
      <c r="A69" t="s">
        <v>39</v>
      </c>
      <c r="B69" t="s">
        <v>52</v>
      </c>
      <c r="C69">
        <v>56522</v>
      </c>
      <c r="D69" s="5">
        <v>0.1036</v>
      </c>
      <c r="E69">
        <v>14558</v>
      </c>
      <c r="F69" s="5">
        <v>0.63490000000000002</v>
      </c>
      <c r="G69">
        <v>2528</v>
      </c>
      <c r="H69" s="5">
        <v>2.35E-2</v>
      </c>
      <c r="I69">
        <v>2</v>
      </c>
      <c r="J69" s="5">
        <v>8.9999999999999998E-4</v>
      </c>
      <c r="K69">
        <v>294</v>
      </c>
      <c r="L69" s="5">
        <v>4.0000000000000001E-3</v>
      </c>
      <c r="M69">
        <v>18252</v>
      </c>
      <c r="N69">
        <v>17817</v>
      </c>
      <c r="O69">
        <v>435</v>
      </c>
      <c r="P69" s="5">
        <v>2.4E-2</v>
      </c>
      <c r="Q69">
        <v>142565</v>
      </c>
      <c r="R69">
        <v>73904</v>
      </c>
      <c r="S69">
        <v>5.76</v>
      </c>
      <c r="T69" t="s">
        <v>36</v>
      </c>
      <c r="U69" t="s">
        <v>29</v>
      </c>
      <c r="V69" t="s">
        <v>38</v>
      </c>
      <c r="W69">
        <v>69</v>
      </c>
    </row>
    <row r="70" spans="1:23" x14ac:dyDescent="0.25">
      <c r="A70" t="s">
        <v>22</v>
      </c>
      <c r="B70" t="s">
        <v>53</v>
      </c>
      <c r="C70">
        <v>23674</v>
      </c>
      <c r="D70" s="5">
        <v>1.78E-2</v>
      </c>
      <c r="E70">
        <v>1938</v>
      </c>
      <c r="F70" s="5">
        <v>6.5100000000000005E-2</v>
      </c>
      <c r="G70">
        <v>3740</v>
      </c>
      <c r="H70" s="5">
        <v>1.06E-2</v>
      </c>
      <c r="I70">
        <v>552</v>
      </c>
      <c r="J70" s="5">
        <v>0.33700000000000002</v>
      </c>
      <c r="K70">
        <v>3</v>
      </c>
      <c r="L70" s="5">
        <v>0</v>
      </c>
      <c r="M70">
        <v>25576</v>
      </c>
      <c r="N70">
        <v>25513</v>
      </c>
      <c r="O70">
        <v>63</v>
      </c>
      <c r="P70" s="5">
        <v>2.5000000000000001E-3</v>
      </c>
      <c r="Q70">
        <v>182454</v>
      </c>
      <c r="R70">
        <v>29907</v>
      </c>
      <c r="S70">
        <v>0.52</v>
      </c>
      <c r="T70" t="s">
        <v>24</v>
      </c>
      <c r="U70" t="s">
        <v>29</v>
      </c>
      <c r="V70" t="s">
        <v>38</v>
      </c>
      <c r="W70">
        <v>72</v>
      </c>
    </row>
    <row r="71" spans="1:23" x14ac:dyDescent="0.25">
      <c r="A71" t="s">
        <v>31</v>
      </c>
      <c r="B71" t="s">
        <v>53</v>
      </c>
      <c r="C71">
        <v>117557</v>
      </c>
      <c r="D71" s="5">
        <v>7.1599999999999997E-2</v>
      </c>
      <c r="E71">
        <v>6427</v>
      </c>
      <c r="F71" s="5">
        <v>0.13750000000000001</v>
      </c>
      <c r="G71">
        <v>11692</v>
      </c>
      <c r="H71" s="5">
        <v>2.6700000000000002E-2</v>
      </c>
      <c r="I71">
        <v>336</v>
      </c>
      <c r="J71" s="5">
        <v>7.7299999999999994E-2</v>
      </c>
      <c r="K71">
        <v>24</v>
      </c>
      <c r="L71" s="5">
        <v>1E-4</v>
      </c>
      <c r="M71">
        <v>28075</v>
      </c>
      <c r="N71">
        <v>28016</v>
      </c>
      <c r="O71">
        <v>59</v>
      </c>
      <c r="P71" s="5">
        <v>2.0999999999999999E-3</v>
      </c>
      <c r="Q71">
        <v>219573</v>
      </c>
      <c r="R71">
        <v>136036</v>
      </c>
      <c r="S71">
        <v>0.55000000000000004</v>
      </c>
      <c r="T71" t="s">
        <v>24</v>
      </c>
      <c r="U71" t="s">
        <v>25</v>
      </c>
      <c r="V71" t="s">
        <v>38</v>
      </c>
      <c r="W71">
        <v>75</v>
      </c>
    </row>
    <row r="72" spans="1:23" x14ac:dyDescent="0.25">
      <c r="A72" t="s">
        <v>34</v>
      </c>
      <c r="B72" t="s">
        <v>53</v>
      </c>
      <c r="C72">
        <v>167773</v>
      </c>
      <c r="D72" s="5">
        <v>9.4399999999999998E-2</v>
      </c>
      <c r="E72">
        <v>11523</v>
      </c>
      <c r="F72" s="5">
        <v>0.14899999999999999</v>
      </c>
      <c r="G72">
        <v>13750</v>
      </c>
      <c r="H72" s="5">
        <v>2.92E-2</v>
      </c>
      <c r="I72">
        <v>451</v>
      </c>
      <c r="J72" s="5">
        <v>4.6100000000000002E-2</v>
      </c>
      <c r="K72">
        <v>438</v>
      </c>
      <c r="L72" s="5">
        <v>1.9E-3</v>
      </c>
      <c r="M72">
        <v>30935</v>
      </c>
      <c r="N72">
        <v>28846</v>
      </c>
      <c r="O72">
        <v>2089</v>
      </c>
      <c r="P72" s="5">
        <v>6.7500000000000004E-2</v>
      </c>
      <c r="Q72">
        <v>252389</v>
      </c>
      <c r="R72">
        <v>193935</v>
      </c>
      <c r="S72">
        <v>0.84</v>
      </c>
      <c r="T72" t="s">
        <v>24</v>
      </c>
      <c r="U72" t="s">
        <v>25</v>
      </c>
      <c r="V72" t="s">
        <v>26</v>
      </c>
      <c r="W72">
        <v>74</v>
      </c>
    </row>
    <row r="73" spans="1:23" x14ac:dyDescent="0.25">
      <c r="A73" t="s">
        <v>39</v>
      </c>
      <c r="B73" t="s">
        <v>53</v>
      </c>
      <c r="C73">
        <v>117238</v>
      </c>
      <c r="D73" s="5">
        <v>0.11020000000000001</v>
      </c>
      <c r="E73">
        <v>5081</v>
      </c>
      <c r="F73" s="5">
        <v>0.13900000000000001</v>
      </c>
      <c r="G73">
        <v>16893</v>
      </c>
      <c r="H73" s="5">
        <v>6.3600000000000004E-2</v>
      </c>
      <c r="I73">
        <v>252</v>
      </c>
      <c r="J73" s="5">
        <v>4.58E-2</v>
      </c>
      <c r="K73">
        <v>2179</v>
      </c>
      <c r="L73" s="5">
        <v>1.7899999999999999E-2</v>
      </c>
      <c r="M73">
        <v>31178</v>
      </c>
      <c r="N73">
        <v>27996</v>
      </c>
      <c r="O73">
        <v>3182</v>
      </c>
      <c r="P73" s="5">
        <v>0.10199999999999999</v>
      </c>
      <c r="Q73">
        <v>277603</v>
      </c>
      <c r="R73">
        <v>141643</v>
      </c>
      <c r="S73">
        <v>0.3</v>
      </c>
      <c r="T73" t="s">
        <v>24</v>
      </c>
      <c r="U73" t="s">
        <v>25</v>
      </c>
      <c r="V73" t="s">
        <v>26</v>
      </c>
      <c r="W73">
        <v>75</v>
      </c>
    </row>
    <row r="74" spans="1:23" x14ac:dyDescent="0.25">
      <c r="A74" t="s">
        <v>22</v>
      </c>
      <c r="B74" t="s">
        <v>54</v>
      </c>
      <c r="C74">
        <v>20</v>
      </c>
      <c r="D74" s="5">
        <v>8.0000000000000004E-4</v>
      </c>
      <c r="E74">
        <v>94</v>
      </c>
      <c r="F74" s="5">
        <v>0.1731</v>
      </c>
      <c r="G74">
        <v>0</v>
      </c>
      <c r="H74" s="5">
        <v>0</v>
      </c>
      <c r="I74">
        <v>0</v>
      </c>
      <c r="J74" s="5">
        <v>0</v>
      </c>
      <c r="K74">
        <v>0</v>
      </c>
      <c r="L74" s="5">
        <v>0</v>
      </c>
      <c r="M74">
        <v>252</v>
      </c>
      <c r="N74">
        <v>249</v>
      </c>
      <c r="O74">
        <v>3</v>
      </c>
      <c r="P74" s="5">
        <v>1.1900000000000001E-2</v>
      </c>
      <c r="Q74">
        <v>75784</v>
      </c>
      <c r="R74">
        <v>114</v>
      </c>
      <c r="T74" t="s">
        <v>33</v>
      </c>
      <c r="U74" t="s">
        <v>37</v>
      </c>
      <c r="V74" t="s">
        <v>38</v>
      </c>
      <c r="W74">
        <v>40</v>
      </c>
    </row>
    <row r="75" spans="1:23" x14ac:dyDescent="0.25">
      <c r="A75" t="s">
        <v>31</v>
      </c>
      <c r="B75" t="s">
        <v>54</v>
      </c>
      <c r="C75">
        <v>125</v>
      </c>
      <c r="D75" s="5">
        <v>3.0000000000000001E-3</v>
      </c>
      <c r="E75">
        <v>215</v>
      </c>
      <c r="F75" s="5">
        <v>0.23730000000000001</v>
      </c>
      <c r="G75">
        <v>1</v>
      </c>
      <c r="H75" s="5">
        <v>1E-4</v>
      </c>
      <c r="I75">
        <v>0</v>
      </c>
      <c r="J75" s="5">
        <v>0</v>
      </c>
      <c r="K75">
        <v>0</v>
      </c>
      <c r="L75" s="5">
        <v>0</v>
      </c>
      <c r="M75">
        <v>258</v>
      </c>
      <c r="N75">
        <v>258</v>
      </c>
      <c r="O75">
        <v>0</v>
      </c>
      <c r="P75" s="5">
        <v>0</v>
      </c>
      <c r="Q75">
        <v>98826</v>
      </c>
      <c r="R75">
        <v>341</v>
      </c>
      <c r="S75">
        <v>100</v>
      </c>
      <c r="T75" t="s">
        <v>36</v>
      </c>
      <c r="U75" t="s">
        <v>37</v>
      </c>
      <c r="V75" t="s">
        <v>30</v>
      </c>
      <c r="W75">
        <v>42</v>
      </c>
    </row>
    <row r="76" spans="1:23" x14ac:dyDescent="0.25">
      <c r="A76" t="s">
        <v>34</v>
      </c>
      <c r="B76" t="s">
        <v>54</v>
      </c>
      <c r="C76">
        <v>89</v>
      </c>
      <c r="D76" s="5">
        <v>4.4999999999999997E-3</v>
      </c>
      <c r="E76">
        <v>280</v>
      </c>
      <c r="F76" s="5">
        <v>0.4173</v>
      </c>
      <c r="G76">
        <v>30</v>
      </c>
      <c r="H76" s="5">
        <v>5.8999999999999999E-3</v>
      </c>
      <c r="I76">
        <v>0</v>
      </c>
      <c r="J76" s="5">
        <v>0</v>
      </c>
      <c r="K76">
        <v>0</v>
      </c>
      <c r="L76" s="5">
        <v>0</v>
      </c>
      <c r="M76">
        <v>248</v>
      </c>
      <c r="N76">
        <v>248</v>
      </c>
      <c r="O76">
        <v>0</v>
      </c>
      <c r="P76" s="5">
        <v>0</v>
      </c>
      <c r="Q76">
        <v>111853</v>
      </c>
      <c r="R76">
        <v>399</v>
      </c>
      <c r="S76">
        <v>9.33</v>
      </c>
      <c r="T76" t="s">
        <v>36</v>
      </c>
      <c r="U76" t="s">
        <v>29</v>
      </c>
      <c r="V76" t="s">
        <v>30</v>
      </c>
      <c r="W76">
        <v>57</v>
      </c>
    </row>
    <row r="77" spans="1:23" x14ac:dyDescent="0.25">
      <c r="A77" t="s">
        <v>39</v>
      </c>
      <c r="B77" t="s">
        <v>54</v>
      </c>
      <c r="C77">
        <v>326</v>
      </c>
      <c r="D77" s="5">
        <v>2.3699999999999999E-2</v>
      </c>
      <c r="E77">
        <v>542</v>
      </c>
      <c r="F77" s="5">
        <v>0.77429999999999999</v>
      </c>
      <c r="G77">
        <v>66</v>
      </c>
      <c r="H77" s="5">
        <v>2.0299999999999999E-2</v>
      </c>
      <c r="I77">
        <v>0</v>
      </c>
      <c r="J77" s="5">
        <v>0</v>
      </c>
      <c r="K77">
        <v>0</v>
      </c>
      <c r="L77" s="5">
        <v>0</v>
      </c>
      <c r="M77">
        <v>258</v>
      </c>
      <c r="N77">
        <v>248</v>
      </c>
      <c r="O77">
        <v>10</v>
      </c>
      <c r="P77" s="5">
        <v>3.7999999999999999E-2</v>
      </c>
      <c r="Q77">
        <v>0</v>
      </c>
      <c r="R77">
        <v>934</v>
      </c>
      <c r="S77">
        <v>8.2100000000000009</v>
      </c>
      <c r="T77" t="s">
        <v>36</v>
      </c>
      <c r="U77" t="s">
        <v>37</v>
      </c>
      <c r="V77" t="s">
        <v>38</v>
      </c>
      <c r="W77">
        <v>59</v>
      </c>
    </row>
    <row r="78" spans="1:23" x14ac:dyDescent="0.25">
      <c r="A78" t="s">
        <v>22</v>
      </c>
      <c r="B78" t="s">
        <v>55</v>
      </c>
      <c r="C78">
        <v>0</v>
      </c>
      <c r="D78" s="5">
        <v>0</v>
      </c>
      <c r="E78">
        <v>2</v>
      </c>
      <c r="F78" s="5">
        <v>5.3E-3</v>
      </c>
      <c r="G78">
        <v>3</v>
      </c>
      <c r="H78" s="5">
        <v>2.9999999999999997E-4</v>
      </c>
      <c r="I78">
        <v>0</v>
      </c>
      <c r="J78" s="5">
        <v>0</v>
      </c>
      <c r="K78">
        <v>0</v>
      </c>
      <c r="L78" s="5">
        <v>0</v>
      </c>
      <c r="M78">
        <v>384</v>
      </c>
      <c r="N78">
        <v>384</v>
      </c>
      <c r="O78">
        <v>0</v>
      </c>
      <c r="P78" s="5">
        <v>0</v>
      </c>
      <c r="Q78">
        <v>90751</v>
      </c>
      <c r="R78">
        <v>5</v>
      </c>
      <c r="S78">
        <v>0.67</v>
      </c>
      <c r="T78" t="s">
        <v>24</v>
      </c>
      <c r="U78" t="s">
        <v>37</v>
      </c>
      <c r="V78" t="s">
        <v>30</v>
      </c>
      <c r="W78">
        <v>42</v>
      </c>
    </row>
    <row r="79" spans="1:23" x14ac:dyDescent="0.25">
      <c r="A79" t="s">
        <v>31</v>
      </c>
      <c r="B79" t="s">
        <v>55</v>
      </c>
      <c r="C79">
        <v>22</v>
      </c>
      <c r="D79" s="5">
        <v>1.2999999999999999E-3</v>
      </c>
      <c r="E79">
        <v>9</v>
      </c>
      <c r="F79" s="5">
        <v>1.9300000000000001E-2</v>
      </c>
      <c r="G79">
        <v>11</v>
      </c>
      <c r="H79" s="5">
        <v>8.9999999999999998E-4</v>
      </c>
      <c r="I79">
        <v>0</v>
      </c>
      <c r="J79" s="5">
        <v>0</v>
      </c>
      <c r="K79">
        <v>0</v>
      </c>
      <c r="L79" s="5">
        <v>0</v>
      </c>
      <c r="M79">
        <v>408</v>
      </c>
      <c r="N79">
        <v>408</v>
      </c>
      <c r="O79">
        <v>0</v>
      </c>
      <c r="P79" s="5">
        <v>0</v>
      </c>
      <c r="Q79">
        <v>107971</v>
      </c>
      <c r="R79">
        <v>42</v>
      </c>
      <c r="S79">
        <v>0.82</v>
      </c>
      <c r="T79" t="s">
        <v>24</v>
      </c>
      <c r="U79" t="s">
        <v>29</v>
      </c>
      <c r="V79" t="s">
        <v>30</v>
      </c>
      <c r="W79">
        <v>44</v>
      </c>
    </row>
    <row r="80" spans="1:23" x14ac:dyDescent="0.25">
      <c r="A80" t="s">
        <v>34</v>
      </c>
      <c r="B80" t="s">
        <v>55</v>
      </c>
      <c r="C80">
        <v>72</v>
      </c>
      <c r="D80" s="5">
        <v>3.3999999999999998E-3</v>
      </c>
      <c r="E80">
        <v>19</v>
      </c>
      <c r="F80" s="5">
        <v>2.53E-2</v>
      </c>
      <c r="G80">
        <v>20</v>
      </c>
      <c r="H80" s="5">
        <v>1.4E-3</v>
      </c>
      <c r="I80">
        <v>0</v>
      </c>
      <c r="J80" s="5">
        <v>0</v>
      </c>
      <c r="K80">
        <v>2</v>
      </c>
      <c r="L80" s="5">
        <v>5.0000000000000001E-4</v>
      </c>
      <c r="M80">
        <v>404</v>
      </c>
      <c r="N80">
        <v>404</v>
      </c>
      <c r="O80">
        <v>0</v>
      </c>
      <c r="P80" s="5">
        <v>2.9999999999999997E-4</v>
      </c>
      <c r="Q80">
        <v>123896</v>
      </c>
      <c r="R80">
        <v>113</v>
      </c>
      <c r="S80">
        <v>0.95</v>
      </c>
      <c r="T80" t="s">
        <v>24</v>
      </c>
      <c r="U80" t="s">
        <v>29</v>
      </c>
      <c r="V80" t="s">
        <v>38</v>
      </c>
      <c r="W80">
        <v>47</v>
      </c>
    </row>
    <row r="81" spans="1:23" x14ac:dyDescent="0.25">
      <c r="A81" t="s">
        <v>39</v>
      </c>
      <c r="B81" t="s">
        <v>55</v>
      </c>
      <c r="C81">
        <v>65</v>
      </c>
      <c r="D81" s="5">
        <v>6.0000000000000001E-3</v>
      </c>
      <c r="E81">
        <v>277</v>
      </c>
      <c r="F81" s="5">
        <v>0.49640000000000001</v>
      </c>
      <c r="G81">
        <v>55</v>
      </c>
      <c r="H81" s="5">
        <v>8.9999999999999993E-3</v>
      </c>
      <c r="I81">
        <v>0</v>
      </c>
      <c r="J81" s="5">
        <v>0</v>
      </c>
      <c r="K81">
        <v>4</v>
      </c>
      <c r="L81" s="5">
        <v>2.8E-3</v>
      </c>
      <c r="M81">
        <v>405</v>
      </c>
      <c r="N81">
        <v>405</v>
      </c>
      <c r="O81">
        <v>0</v>
      </c>
      <c r="P81" s="5">
        <v>0</v>
      </c>
      <c r="Q81">
        <v>136948</v>
      </c>
      <c r="R81">
        <v>401</v>
      </c>
      <c r="S81">
        <v>5.04</v>
      </c>
      <c r="T81" t="s">
        <v>36</v>
      </c>
      <c r="U81" t="s">
        <v>29</v>
      </c>
      <c r="V81" t="s">
        <v>30</v>
      </c>
      <c r="W81">
        <v>67</v>
      </c>
    </row>
    <row r="82" spans="1:23" x14ac:dyDescent="0.25">
      <c r="A82" t="s">
        <v>22</v>
      </c>
      <c r="B82" t="s">
        <v>56</v>
      </c>
      <c r="C82">
        <v>0</v>
      </c>
      <c r="D82" s="5">
        <v>0</v>
      </c>
      <c r="E82">
        <v>0</v>
      </c>
      <c r="F82" s="5">
        <v>0</v>
      </c>
      <c r="G82">
        <v>0</v>
      </c>
      <c r="H82" s="5">
        <v>0</v>
      </c>
      <c r="I82">
        <v>0</v>
      </c>
      <c r="J82" s="5">
        <v>0</v>
      </c>
      <c r="K82">
        <v>0</v>
      </c>
      <c r="L82" s="5">
        <v>0</v>
      </c>
      <c r="M82">
        <v>132</v>
      </c>
      <c r="N82">
        <v>132</v>
      </c>
      <c r="O82">
        <v>0</v>
      </c>
      <c r="P82" s="5">
        <v>0</v>
      </c>
      <c r="Q82">
        <v>173521</v>
      </c>
      <c r="R82">
        <v>0</v>
      </c>
      <c r="T82" t="s">
        <v>33</v>
      </c>
      <c r="U82" t="s">
        <v>29</v>
      </c>
      <c r="V82" t="s">
        <v>30</v>
      </c>
      <c r="W82">
        <v>47</v>
      </c>
    </row>
    <row r="83" spans="1:23" x14ac:dyDescent="0.25">
      <c r="A83" t="s">
        <v>31</v>
      </c>
      <c r="B83" t="s">
        <v>56</v>
      </c>
      <c r="C83">
        <v>36</v>
      </c>
      <c r="D83" s="5">
        <v>1.8E-3</v>
      </c>
      <c r="E83">
        <v>0</v>
      </c>
      <c r="F83" s="5">
        <v>0</v>
      </c>
      <c r="G83">
        <v>0</v>
      </c>
      <c r="H83" s="5">
        <v>0</v>
      </c>
      <c r="I83">
        <v>0</v>
      </c>
      <c r="J83" s="5">
        <v>0</v>
      </c>
      <c r="K83">
        <v>0</v>
      </c>
      <c r="L83" s="5">
        <v>0</v>
      </c>
      <c r="M83">
        <v>169</v>
      </c>
      <c r="N83">
        <v>156</v>
      </c>
      <c r="O83">
        <v>13</v>
      </c>
      <c r="P83" s="5">
        <v>7.6899999999999996E-2</v>
      </c>
      <c r="Q83">
        <v>190965</v>
      </c>
      <c r="R83">
        <v>36</v>
      </c>
      <c r="T83" t="s">
        <v>33</v>
      </c>
      <c r="U83" t="s">
        <v>29</v>
      </c>
      <c r="V83" t="s">
        <v>26</v>
      </c>
      <c r="W83">
        <v>45</v>
      </c>
    </row>
    <row r="84" spans="1:23" x14ac:dyDescent="0.25">
      <c r="A84" t="s">
        <v>34</v>
      </c>
      <c r="B84" t="s">
        <v>56</v>
      </c>
      <c r="C84">
        <v>166</v>
      </c>
      <c r="D84" s="5">
        <v>7.9000000000000008E-3</v>
      </c>
      <c r="E84">
        <v>0</v>
      </c>
      <c r="F84" s="5">
        <v>0</v>
      </c>
      <c r="G84">
        <v>0</v>
      </c>
      <c r="H84" s="5">
        <v>0</v>
      </c>
      <c r="I84">
        <v>0</v>
      </c>
      <c r="J84" s="5">
        <v>0</v>
      </c>
      <c r="K84">
        <v>0</v>
      </c>
      <c r="L84" s="5">
        <v>0</v>
      </c>
      <c r="M84">
        <v>159</v>
      </c>
      <c r="N84">
        <v>159</v>
      </c>
      <c r="O84">
        <v>0</v>
      </c>
      <c r="P84" s="5">
        <v>0</v>
      </c>
      <c r="Q84">
        <v>215144</v>
      </c>
      <c r="R84">
        <v>166</v>
      </c>
      <c r="T84" t="s">
        <v>33</v>
      </c>
      <c r="U84" t="s">
        <v>25</v>
      </c>
      <c r="V84" t="s">
        <v>30</v>
      </c>
      <c r="W84">
        <v>49</v>
      </c>
    </row>
    <row r="85" spans="1:23" x14ac:dyDescent="0.25">
      <c r="A85" t="s">
        <v>39</v>
      </c>
      <c r="B85" t="s">
        <v>56</v>
      </c>
      <c r="C85">
        <v>506</v>
      </c>
      <c r="D85" s="5">
        <v>4.4999999999999998E-2</v>
      </c>
      <c r="E85">
        <v>0</v>
      </c>
      <c r="F85" s="5">
        <v>0</v>
      </c>
      <c r="G85">
        <v>10</v>
      </c>
      <c r="H85" s="5">
        <v>4.7000000000000002E-3</v>
      </c>
      <c r="I85">
        <v>0</v>
      </c>
      <c r="J85" s="5">
        <v>0</v>
      </c>
      <c r="K85">
        <v>0</v>
      </c>
      <c r="L85" s="5">
        <v>0</v>
      </c>
      <c r="M85">
        <v>162</v>
      </c>
      <c r="N85">
        <v>162</v>
      </c>
      <c r="O85">
        <v>0</v>
      </c>
      <c r="P85" s="5">
        <v>0</v>
      </c>
      <c r="Q85">
        <v>0</v>
      </c>
      <c r="R85">
        <v>516</v>
      </c>
      <c r="S85">
        <v>0</v>
      </c>
      <c r="T85" t="s">
        <v>24</v>
      </c>
      <c r="U85" t="s">
        <v>37</v>
      </c>
      <c r="V85" t="s">
        <v>30</v>
      </c>
      <c r="W85">
        <v>47</v>
      </c>
    </row>
    <row r="86" spans="1:23" x14ac:dyDescent="0.25">
      <c r="A86" t="s">
        <v>22</v>
      </c>
      <c r="B86" t="s">
        <v>57</v>
      </c>
      <c r="C86">
        <v>2</v>
      </c>
      <c r="D86" s="5">
        <v>2.9999999999999997E-4</v>
      </c>
      <c r="E86">
        <v>0</v>
      </c>
      <c r="F86" s="5">
        <v>0</v>
      </c>
      <c r="G86">
        <v>0</v>
      </c>
      <c r="H86" s="5">
        <v>0</v>
      </c>
      <c r="I86">
        <v>0</v>
      </c>
      <c r="J86" s="5">
        <v>0</v>
      </c>
      <c r="K86">
        <v>0</v>
      </c>
      <c r="L86" s="5">
        <v>0</v>
      </c>
      <c r="M86">
        <v>160</v>
      </c>
      <c r="N86">
        <v>155</v>
      </c>
      <c r="O86">
        <v>5</v>
      </c>
      <c r="P86" s="5">
        <v>3.1199999999999999E-2</v>
      </c>
      <c r="Q86">
        <v>119781</v>
      </c>
      <c r="R86">
        <v>2</v>
      </c>
      <c r="T86" t="s">
        <v>33</v>
      </c>
      <c r="U86" t="s">
        <v>29</v>
      </c>
      <c r="V86" t="s">
        <v>38</v>
      </c>
      <c r="W86">
        <v>42</v>
      </c>
    </row>
    <row r="87" spans="1:23" x14ac:dyDescent="0.25">
      <c r="A87" t="s">
        <v>31</v>
      </c>
      <c r="B87" t="s">
        <v>57</v>
      </c>
      <c r="C87">
        <v>3</v>
      </c>
      <c r="D87" s="5">
        <v>5.0000000000000001E-4</v>
      </c>
      <c r="E87">
        <v>0</v>
      </c>
      <c r="F87" s="5">
        <v>0</v>
      </c>
      <c r="G87">
        <v>0</v>
      </c>
      <c r="H87" s="5">
        <v>0</v>
      </c>
      <c r="I87">
        <v>0</v>
      </c>
      <c r="J87" s="5">
        <v>0</v>
      </c>
      <c r="K87">
        <v>0</v>
      </c>
      <c r="L87" s="5">
        <v>0</v>
      </c>
      <c r="M87">
        <v>173</v>
      </c>
      <c r="N87">
        <v>153</v>
      </c>
      <c r="O87">
        <v>20</v>
      </c>
      <c r="P87" s="5">
        <v>0.11559999999999999</v>
      </c>
      <c r="Q87">
        <v>127225</v>
      </c>
      <c r="R87">
        <v>3</v>
      </c>
      <c r="T87" t="s">
        <v>33</v>
      </c>
      <c r="U87" t="s">
        <v>29</v>
      </c>
      <c r="V87" t="s">
        <v>26</v>
      </c>
      <c r="W87">
        <v>39</v>
      </c>
    </row>
    <row r="88" spans="1:23" x14ac:dyDescent="0.25">
      <c r="A88" t="s">
        <v>34</v>
      </c>
      <c r="B88" t="s">
        <v>57</v>
      </c>
      <c r="C88">
        <v>3</v>
      </c>
      <c r="D88" s="5">
        <v>5.0000000000000001E-4</v>
      </c>
      <c r="E88">
        <v>0</v>
      </c>
      <c r="F88" s="5">
        <v>0</v>
      </c>
      <c r="G88">
        <v>3</v>
      </c>
      <c r="H88" s="5">
        <v>2.9999999999999997E-4</v>
      </c>
      <c r="I88">
        <v>0</v>
      </c>
      <c r="J88" s="5">
        <v>0</v>
      </c>
      <c r="K88">
        <v>0</v>
      </c>
      <c r="L88" s="5">
        <v>0</v>
      </c>
      <c r="M88">
        <v>168</v>
      </c>
      <c r="N88">
        <v>167</v>
      </c>
      <c r="O88">
        <v>1</v>
      </c>
      <c r="P88" s="5">
        <v>4.7999999999999996E-3</v>
      </c>
      <c r="Q88">
        <v>145537</v>
      </c>
      <c r="R88">
        <v>6</v>
      </c>
      <c r="S88">
        <v>0</v>
      </c>
      <c r="T88" t="s">
        <v>24</v>
      </c>
      <c r="U88" t="s">
        <v>29</v>
      </c>
      <c r="V88" t="s">
        <v>38</v>
      </c>
      <c r="W88">
        <v>45</v>
      </c>
    </row>
    <row r="89" spans="1:23" x14ac:dyDescent="0.25">
      <c r="A89" t="s">
        <v>39</v>
      </c>
      <c r="B89" t="s">
        <v>57</v>
      </c>
      <c r="C89">
        <v>7</v>
      </c>
      <c r="D89" s="5">
        <v>2.3E-3</v>
      </c>
      <c r="E89">
        <v>0</v>
      </c>
      <c r="F89" s="5">
        <v>0</v>
      </c>
      <c r="G89">
        <v>8</v>
      </c>
      <c r="H89" s="5">
        <v>2E-3</v>
      </c>
      <c r="I89">
        <v>0</v>
      </c>
      <c r="J89" s="5">
        <v>0</v>
      </c>
      <c r="K89">
        <v>0</v>
      </c>
      <c r="L89" s="5">
        <v>0</v>
      </c>
      <c r="M89">
        <v>174</v>
      </c>
      <c r="N89">
        <v>174</v>
      </c>
      <c r="O89">
        <v>0</v>
      </c>
      <c r="P89" s="5">
        <v>1E-3</v>
      </c>
      <c r="Q89">
        <v>0</v>
      </c>
      <c r="R89">
        <v>15</v>
      </c>
      <c r="S89">
        <v>0</v>
      </c>
      <c r="T89" t="s">
        <v>24</v>
      </c>
      <c r="U89" t="s">
        <v>37</v>
      </c>
      <c r="V89" t="s">
        <v>38</v>
      </c>
      <c r="W89">
        <v>40</v>
      </c>
    </row>
    <row r="90" spans="1:23" x14ac:dyDescent="0.25">
      <c r="A90" t="s">
        <v>22</v>
      </c>
      <c r="B90" t="s">
        <v>58</v>
      </c>
      <c r="C90">
        <v>4944</v>
      </c>
      <c r="D90" s="5">
        <v>1.1599999999999999E-2</v>
      </c>
      <c r="E90">
        <v>623</v>
      </c>
      <c r="F90" s="5">
        <v>8.4599999999999995E-2</v>
      </c>
      <c r="G90">
        <v>60</v>
      </c>
      <c r="H90" s="5">
        <v>1E-3</v>
      </c>
      <c r="I90">
        <v>0</v>
      </c>
      <c r="J90" s="5">
        <v>0</v>
      </c>
      <c r="K90">
        <v>0</v>
      </c>
      <c r="L90" s="5">
        <v>0</v>
      </c>
      <c r="M90">
        <v>4984</v>
      </c>
      <c r="N90">
        <v>4984</v>
      </c>
      <c r="O90">
        <v>1</v>
      </c>
      <c r="P90" s="5">
        <v>2.0000000000000001E-4</v>
      </c>
      <c r="Q90">
        <v>103211</v>
      </c>
      <c r="R90">
        <v>5627</v>
      </c>
      <c r="S90">
        <v>10.38</v>
      </c>
      <c r="T90" t="s">
        <v>36</v>
      </c>
      <c r="U90" t="s">
        <v>29</v>
      </c>
      <c r="V90" t="s">
        <v>38</v>
      </c>
      <c r="W90">
        <v>44</v>
      </c>
    </row>
    <row r="91" spans="1:23" x14ac:dyDescent="0.25">
      <c r="A91" t="s">
        <v>31</v>
      </c>
      <c r="B91" t="s">
        <v>58</v>
      </c>
      <c r="C91">
        <v>25721</v>
      </c>
      <c r="D91" s="5">
        <v>5.0900000000000001E-2</v>
      </c>
      <c r="E91">
        <v>2253</v>
      </c>
      <c r="F91" s="5">
        <v>0.20699999999999999</v>
      </c>
      <c r="G91">
        <v>438</v>
      </c>
      <c r="H91" s="5">
        <v>6.1999999999999998E-3</v>
      </c>
      <c r="I91">
        <v>30</v>
      </c>
      <c r="J91" s="5">
        <v>1.9400000000000001E-2</v>
      </c>
      <c r="K91">
        <v>2</v>
      </c>
      <c r="L91" s="5">
        <v>0</v>
      </c>
      <c r="M91">
        <v>5643</v>
      </c>
      <c r="N91">
        <v>5643</v>
      </c>
      <c r="O91">
        <v>0</v>
      </c>
      <c r="P91" s="5">
        <v>0</v>
      </c>
      <c r="Q91">
        <v>134091</v>
      </c>
      <c r="R91">
        <v>28444</v>
      </c>
      <c r="S91">
        <v>5.14</v>
      </c>
      <c r="T91" t="s">
        <v>36</v>
      </c>
      <c r="U91" t="s">
        <v>29</v>
      </c>
      <c r="V91" t="s">
        <v>30</v>
      </c>
      <c r="W91">
        <v>59</v>
      </c>
    </row>
    <row r="92" spans="1:23" x14ac:dyDescent="0.25">
      <c r="A92" t="s">
        <v>34</v>
      </c>
      <c r="B92" t="s">
        <v>58</v>
      </c>
      <c r="C92">
        <v>38351</v>
      </c>
      <c r="D92" s="5">
        <v>6.5500000000000003E-2</v>
      </c>
      <c r="E92">
        <v>4767</v>
      </c>
      <c r="F92" s="5">
        <v>0.24979999999999999</v>
      </c>
      <c r="G92">
        <v>1337</v>
      </c>
      <c r="H92" s="5">
        <v>1.7500000000000002E-2</v>
      </c>
      <c r="I92">
        <v>21</v>
      </c>
      <c r="J92" s="5">
        <v>7.4000000000000003E-3</v>
      </c>
      <c r="K92">
        <v>76</v>
      </c>
      <c r="L92" s="5">
        <v>1.2999999999999999E-3</v>
      </c>
      <c r="M92">
        <v>6566</v>
      </c>
      <c r="N92">
        <v>6391</v>
      </c>
      <c r="O92">
        <v>175</v>
      </c>
      <c r="P92" s="5">
        <v>2.6700000000000002E-2</v>
      </c>
      <c r="Q92">
        <v>143768</v>
      </c>
      <c r="R92">
        <v>44552</v>
      </c>
      <c r="S92">
        <v>3.57</v>
      </c>
      <c r="T92" t="s">
        <v>28</v>
      </c>
      <c r="U92" t="s">
        <v>29</v>
      </c>
      <c r="V92" t="s">
        <v>38</v>
      </c>
      <c r="W92">
        <v>69</v>
      </c>
    </row>
    <row r="93" spans="1:23" x14ac:dyDescent="0.25">
      <c r="A93" t="s">
        <v>39</v>
      </c>
      <c r="B93" t="s">
        <v>58</v>
      </c>
      <c r="C93">
        <v>49167</v>
      </c>
      <c r="D93" s="5">
        <v>0.13789999999999999</v>
      </c>
      <c r="E93">
        <v>3442</v>
      </c>
      <c r="F93" s="5">
        <v>0.25650000000000001</v>
      </c>
      <c r="G93">
        <v>3057</v>
      </c>
      <c r="H93" s="5">
        <v>7.6200000000000004E-2</v>
      </c>
      <c r="I93">
        <v>86</v>
      </c>
      <c r="J93" s="5">
        <v>5.8799999999999998E-2</v>
      </c>
      <c r="K93">
        <v>444</v>
      </c>
      <c r="L93" s="5">
        <v>1.5699999999999999E-2</v>
      </c>
      <c r="M93">
        <v>6443</v>
      </c>
      <c r="N93">
        <v>6443</v>
      </c>
      <c r="O93">
        <v>0</v>
      </c>
      <c r="P93" s="5">
        <v>0</v>
      </c>
      <c r="Q93">
        <v>163101</v>
      </c>
      <c r="R93">
        <v>56196</v>
      </c>
      <c r="S93">
        <v>1.1299999999999999</v>
      </c>
      <c r="T93" t="s">
        <v>24</v>
      </c>
      <c r="U93" t="s">
        <v>29</v>
      </c>
      <c r="V93" t="s">
        <v>30</v>
      </c>
      <c r="W93">
        <v>71</v>
      </c>
    </row>
    <row r="94" spans="1:23" x14ac:dyDescent="0.25">
      <c r="A94" t="s">
        <v>22</v>
      </c>
      <c r="B94" t="s">
        <v>59</v>
      </c>
      <c r="C94">
        <v>392</v>
      </c>
      <c r="D94" s="5">
        <v>1.06E-2</v>
      </c>
      <c r="E94">
        <v>4</v>
      </c>
      <c r="F94" s="5">
        <v>4.7100000000000003E-2</v>
      </c>
      <c r="G94">
        <v>9</v>
      </c>
      <c r="H94" s="5">
        <v>1.1999999999999999E-3</v>
      </c>
      <c r="I94">
        <v>0</v>
      </c>
      <c r="J94" s="5">
        <v>0</v>
      </c>
      <c r="K94">
        <v>0</v>
      </c>
      <c r="L94" s="5">
        <v>0</v>
      </c>
      <c r="M94">
        <v>429</v>
      </c>
      <c r="N94">
        <v>429</v>
      </c>
      <c r="O94">
        <v>0</v>
      </c>
      <c r="P94" s="5">
        <v>0</v>
      </c>
      <c r="Q94">
        <v>208862</v>
      </c>
      <c r="R94">
        <v>405</v>
      </c>
      <c r="S94">
        <v>0.44</v>
      </c>
      <c r="T94" t="s">
        <v>24</v>
      </c>
      <c r="U94" t="s">
        <v>25</v>
      </c>
      <c r="V94" t="s">
        <v>30</v>
      </c>
      <c r="W94">
        <v>52</v>
      </c>
    </row>
    <row r="95" spans="1:23" x14ac:dyDescent="0.25">
      <c r="A95" t="s">
        <v>31</v>
      </c>
      <c r="B95" t="s">
        <v>59</v>
      </c>
      <c r="C95">
        <v>1410</v>
      </c>
      <c r="D95" s="5">
        <v>3.4599999999999999E-2</v>
      </c>
      <c r="E95">
        <v>25</v>
      </c>
      <c r="F95" s="5">
        <v>0.26319999999999999</v>
      </c>
      <c r="G95">
        <v>44</v>
      </c>
      <c r="H95" s="5">
        <v>4.8999999999999998E-3</v>
      </c>
      <c r="I95">
        <v>0</v>
      </c>
      <c r="J95" s="5">
        <v>0</v>
      </c>
      <c r="K95">
        <v>2</v>
      </c>
      <c r="L95" s="5">
        <v>3.3999999999999998E-3</v>
      </c>
      <c r="M95">
        <v>469</v>
      </c>
      <c r="N95">
        <v>467</v>
      </c>
      <c r="O95">
        <v>2</v>
      </c>
      <c r="P95" s="5">
        <v>4.3E-3</v>
      </c>
      <c r="Q95">
        <v>231557</v>
      </c>
      <c r="R95">
        <v>1481</v>
      </c>
      <c r="S95">
        <v>0.56999999999999995</v>
      </c>
      <c r="T95" t="s">
        <v>24</v>
      </c>
      <c r="U95" t="s">
        <v>25</v>
      </c>
      <c r="V95" t="s">
        <v>38</v>
      </c>
      <c r="W95">
        <v>63</v>
      </c>
    </row>
    <row r="96" spans="1:23" x14ac:dyDescent="0.25">
      <c r="A96" t="s">
        <v>34</v>
      </c>
      <c r="B96" t="s">
        <v>59</v>
      </c>
      <c r="C96">
        <v>2451</v>
      </c>
      <c r="D96" s="5">
        <v>5.6399999999999999E-2</v>
      </c>
      <c r="E96">
        <v>92</v>
      </c>
      <c r="F96" s="5">
        <v>0.53490000000000004</v>
      </c>
      <c r="G96">
        <v>90</v>
      </c>
      <c r="H96" s="5">
        <v>8.3000000000000001E-3</v>
      </c>
      <c r="I96">
        <v>0</v>
      </c>
      <c r="J96" s="5">
        <v>0</v>
      </c>
      <c r="K96">
        <v>4</v>
      </c>
      <c r="L96" s="5">
        <v>5.5999999999999999E-3</v>
      </c>
      <c r="M96">
        <v>501</v>
      </c>
      <c r="N96">
        <v>501</v>
      </c>
      <c r="O96">
        <v>0</v>
      </c>
      <c r="P96" s="5">
        <v>0</v>
      </c>
      <c r="Q96">
        <v>245180</v>
      </c>
      <c r="R96">
        <v>2637</v>
      </c>
      <c r="S96">
        <v>1.02</v>
      </c>
      <c r="T96" t="s">
        <v>24</v>
      </c>
      <c r="U96" t="s">
        <v>25</v>
      </c>
      <c r="V96" t="s">
        <v>30</v>
      </c>
      <c r="W96">
        <v>72</v>
      </c>
    </row>
    <row r="97" spans="1:23" x14ac:dyDescent="0.25">
      <c r="A97" t="s">
        <v>39</v>
      </c>
      <c r="B97" t="s">
        <v>59</v>
      </c>
      <c r="C97">
        <v>2867</v>
      </c>
      <c r="D97" s="5">
        <v>9.7199999999999995E-2</v>
      </c>
      <c r="E97">
        <v>207</v>
      </c>
      <c r="F97" s="5">
        <v>0.65300000000000002</v>
      </c>
      <c r="G97">
        <v>85</v>
      </c>
      <c r="H97" s="5">
        <v>1.1599999999999999E-2</v>
      </c>
      <c r="I97">
        <v>16</v>
      </c>
      <c r="J97" s="5">
        <v>8.5099999999999995E-2</v>
      </c>
      <c r="K97">
        <v>2</v>
      </c>
      <c r="L97" s="5">
        <v>5.3E-3</v>
      </c>
      <c r="M97">
        <v>524</v>
      </c>
      <c r="N97">
        <v>524</v>
      </c>
      <c r="O97">
        <v>0</v>
      </c>
      <c r="P97" s="5">
        <v>0</v>
      </c>
      <c r="Q97">
        <v>262166</v>
      </c>
      <c r="R97">
        <v>3177</v>
      </c>
      <c r="S97">
        <v>2.44</v>
      </c>
      <c r="T97" t="s">
        <v>28</v>
      </c>
      <c r="U97" t="s">
        <v>25</v>
      </c>
      <c r="V97" t="s">
        <v>30</v>
      </c>
      <c r="W97">
        <v>77</v>
      </c>
    </row>
    <row r="98" spans="1:23" x14ac:dyDescent="0.25">
      <c r="A98" t="s">
        <v>22</v>
      </c>
      <c r="B98" t="s">
        <v>60</v>
      </c>
      <c r="C98">
        <v>3271</v>
      </c>
      <c r="D98" s="5">
        <v>9.1000000000000004E-3</v>
      </c>
      <c r="E98">
        <v>1335</v>
      </c>
      <c r="F98" s="5">
        <v>0.36880000000000002</v>
      </c>
      <c r="G98">
        <v>33</v>
      </c>
      <c r="H98" s="5">
        <v>2.9999999999999997E-4</v>
      </c>
      <c r="I98">
        <v>0</v>
      </c>
      <c r="J98" s="5">
        <v>0</v>
      </c>
      <c r="K98">
        <v>4</v>
      </c>
      <c r="L98" s="5">
        <v>1E-4</v>
      </c>
      <c r="M98">
        <v>13148</v>
      </c>
      <c r="N98">
        <v>13148</v>
      </c>
      <c r="O98">
        <v>0</v>
      </c>
      <c r="P98" s="5">
        <v>0</v>
      </c>
      <c r="Q98">
        <v>150620</v>
      </c>
      <c r="R98">
        <v>4643</v>
      </c>
      <c r="S98">
        <v>40.450000000000003</v>
      </c>
      <c r="T98" t="s">
        <v>36</v>
      </c>
      <c r="U98" t="s">
        <v>29</v>
      </c>
      <c r="V98" t="s">
        <v>30</v>
      </c>
      <c r="W98">
        <v>46</v>
      </c>
    </row>
    <row r="99" spans="1:23" x14ac:dyDescent="0.25">
      <c r="A99" t="s">
        <v>31</v>
      </c>
      <c r="B99" t="s">
        <v>60</v>
      </c>
      <c r="C99">
        <v>7610</v>
      </c>
      <c r="D99" s="5">
        <v>0.02</v>
      </c>
      <c r="E99">
        <v>6383</v>
      </c>
      <c r="F99" s="5">
        <v>0.66520000000000001</v>
      </c>
      <c r="G99">
        <v>42</v>
      </c>
      <c r="H99" s="5">
        <v>2.9999999999999997E-4</v>
      </c>
      <c r="I99">
        <v>0</v>
      </c>
      <c r="J99" s="5">
        <v>0</v>
      </c>
      <c r="K99">
        <v>19</v>
      </c>
      <c r="L99" s="5">
        <v>4.0000000000000002E-4</v>
      </c>
      <c r="M99">
        <v>13556</v>
      </c>
      <c r="N99">
        <v>13431</v>
      </c>
      <c r="O99">
        <v>125</v>
      </c>
      <c r="P99" s="5">
        <v>9.1999999999999998E-3</v>
      </c>
      <c r="Q99">
        <v>170276</v>
      </c>
      <c r="R99">
        <v>14054</v>
      </c>
      <c r="S99">
        <v>100</v>
      </c>
      <c r="T99" t="s">
        <v>36</v>
      </c>
      <c r="U99" t="s">
        <v>29</v>
      </c>
      <c r="V99" t="s">
        <v>38</v>
      </c>
      <c r="W99">
        <v>47</v>
      </c>
    </row>
    <row r="100" spans="1:23" x14ac:dyDescent="0.25">
      <c r="A100" t="s">
        <v>34</v>
      </c>
      <c r="B100" t="s">
        <v>60</v>
      </c>
      <c r="C100">
        <v>8753</v>
      </c>
      <c r="D100" s="5">
        <v>2.0500000000000001E-2</v>
      </c>
      <c r="E100">
        <v>16114</v>
      </c>
      <c r="F100" s="5">
        <v>0.7853</v>
      </c>
      <c r="G100">
        <v>780</v>
      </c>
      <c r="H100" s="5">
        <v>5.5999999999999999E-3</v>
      </c>
      <c r="I100">
        <v>0</v>
      </c>
      <c r="J100" s="5">
        <v>0</v>
      </c>
      <c r="K100">
        <v>94</v>
      </c>
      <c r="L100" s="5">
        <v>1.8E-3</v>
      </c>
      <c r="M100">
        <v>14311</v>
      </c>
      <c r="N100">
        <v>14311</v>
      </c>
      <c r="O100">
        <v>0</v>
      </c>
      <c r="P100" s="5">
        <v>0</v>
      </c>
      <c r="Q100">
        <v>181678</v>
      </c>
      <c r="R100">
        <v>25741</v>
      </c>
      <c r="S100">
        <v>20.66</v>
      </c>
      <c r="T100" t="s">
        <v>36</v>
      </c>
      <c r="U100" t="s">
        <v>29</v>
      </c>
      <c r="V100" t="s">
        <v>30</v>
      </c>
      <c r="W100">
        <v>61</v>
      </c>
    </row>
    <row r="101" spans="1:23" x14ac:dyDescent="0.25">
      <c r="A101" t="s">
        <v>39</v>
      </c>
      <c r="B101" t="s">
        <v>60</v>
      </c>
      <c r="C101">
        <v>13453</v>
      </c>
      <c r="D101" s="5">
        <v>5.9200000000000003E-2</v>
      </c>
      <c r="E101">
        <v>6201</v>
      </c>
      <c r="F101" s="5">
        <v>0.80059999999999998</v>
      </c>
      <c r="G101">
        <v>2533</v>
      </c>
      <c r="H101" s="5">
        <v>2.8000000000000001E-2</v>
      </c>
      <c r="I101">
        <v>0</v>
      </c>
      <c r="J101" s="5">
        <v>0</v>
      </c>
      <c r="K101">
        <v>141</v>
      </c>
      <c r="L101" s="5">
        <v>4.0000000000000001E-3</v>
      </c>
      <c r="M101">
        <v>15293</v>
      </c>
      <c r="N101">
        <v>15293</v>
      </c>
      <c r="O101">
        <v>0</v>
      </c>
      <c r="P101" s="5">
        <v>0</v>
      </c>
      <c r="Q101">
        <v>196505</v>
      </c>
      <c r="R101">
        <v>22328</v>
      </c>
      <c r="S101">
        <v>2.4500000000000002</v>
      </c>
      <c r="T101" t="s">
        <v>28</v>
      </c>
      <c r="U101" t="s">
        <v>29</v>
      </c>
      <c r="V101" t="s">
        <v>30</v>
      </c>
      <c r="W101">
        <v>73</v>
      </c>
    </row>
    <row r="102" spans="1:23" x14ac:dyDescent="0.25">
      <c r="A102" t="s">
        <v>22</v>
      </c>
      <c r="B102" t="s">
        <v>61</v>
      </c>
      <c r="C102">
        <v>13960</v>
      </c>
      <c r="D102" s="5">
        <v>1.84E-2</v>
      </c>
      <c r="E102">
        <v>8936</v>
      </c>
      <c r="F102" s="5">
        <v>0.53939999999999999</v>
      </c>
      <c r="G102">
        <v>554</v>
      </c>
      <c r="H102" s="5">
        <v>3.7000000000000002E-3</v>
      </c>
      <c r="I102">
        <v>0</v>
      </c>
      <c r="J102" s="5">
        <v>0</v>
      </c>
      <c r="K102">
        <v>12</v>
      </c>
      <c r="L102" s="5">
        <v>1E-4</v>
      </c>
      <c r="M102">
        <v>14441</v>
      </c>
      <c r="N102">
        <v>14441</v>
      </c>
      <c r="O102">
        <v>0</v>
      </c>
      <c r="P102" s="5">
        <v>0</v>
      </c>
      <c r="Q102">
        <v>114925</v>
      </c>
      <c r="R102">
        <v>23462</v>
      </c>
      <c r="S102">
        <v>16.13</v>
      </c>
      <c r="T102" t="s">
        <v>36</v>
      </c>
      <c r="U102" t="s">
        <v>29</v>
      </c>
      <c r="V102" t="s">
        <v>30</v>
      </c>
      <c r="W102">
        <v>52</v>
      </c>
    </row>
    <row r="103" spans="1:23" x14ac:dyDescent="0.25">
      <c r="A103" t="s">
        <v>31</v>
      </c>
      <c r="B103" t="s">
        <v>61</v>
      </c>
      <c r="C103">
        <v>54132</v>
      </c>
      <c r="D103" s="5">
        <v>6.0400000000000002E-2</v>
      </c>
      <c r="E103">
        <v>22633</v>
      </c>
      <c r="F103" s="5">
        <v>0.63859999999999995</v>
      </c>
      <c r="G103">
        <v>1468</v>
      </c>
      <c r="H103" s="5">
        <v>8.3000000000000001E-3</v>
      </c>
      <c r="I103">
        <v>5</v>
      </c>
      <c r="J103" s="5">
        <v>2.8E-3</v>
      </c>
      <c r="K103">
        <v>2</v>
      </c>
      <c r="L103" s="5">
        <v>0</v>
      </c>
      <c r="M103">
        <v>15784</v>
      </c>
      <c r="N103">
        <v>15784</v>
      </c>
      <c r="O103">
        <v>0</v>
      </c>
      <c r="P103" s="5">
        <v>0</v>
      </c>
      <c r="Q103">
        <v>134060</v>
      </c>
      <c r="R103">
        <v>78240</v>
      </c>
      <c r="S103">
        <v>15.42</v>
      </c>
      <c r="T103" t="s">
        <v>36</v>
      </c>
      <c r="U103" t="s">
        <v>29</v>
      </c>
      <c r="V103" t="s">
        <v>30</v>
      </c>
      <c r="W103">
        <v>65</v>
      </c>
    </row>
    <row r="104" spans="1:23" x14ac:dyDescent="0.25">
      <c r="A104" t="s">
        <v>34</v>
      </c>
      <c r="B104" t="s">
        <v>61</v>
      </c>
      <c r="C104">
        <v>59470</v>
      </c>
      <c r="D104" s="5">
        <v>5.6300000000000003E-2</v>
      </c>
      <c r="E104">
        <v>29732</v>
      </c>
      <c r="F104" s="5">
        <v>0.60009999999999997</v>
      </c>
      <c r="G104">
        <v>4490</v>
      </c>
      <c r="H104" s="5">
        <v>2.2499999999999999E-2</v>
      </c>
      <c r="I104">
        <v>6</v>
      </c>
      <c r="J104" s="5">
        <v>1.8E-3</v>
      </c>
      <c r="K104">
        <v>120</v>
      </c>
      <c r="L104" s="5">
        <v>5.9999999999999995E-4</v>
      </c>
      <c r="M104">
        <v>17399</v>
      </c>
      <c r="N104">
        <v>17206</v>
      </c>
      <c r="O104">
        <v>193</v>
      </c>
      <c r="P104" s="5">
        <v>1.11E-2</v>
      </c>
      <c r="Q104">
        <v>150653</v>
      </c>
      <c r="R104">
        <v>93818</v>
      </c>
      <c r="S104">
        <v>6.62</v>
      </c>
      <c r="T104" t="s">
        <v>36</v>
      </c>
      <c r="U104" t="s">
        <v>29</v>
      </c>
      <c r="V104" t="s">
        <v>38</v>
      </c>
      <c r="W104">
        <v>70</v>
      </c>
    </row>
    <row r="105" spans="1:23" x14ac:dyDescent="0.25">
      <c r="A105" t="s">
        <v>39</v>
      </c>
      <c r="B105" t="s">
        <v>61</v>
      </c>
      <c r="C105">
        <v>42162</v>
      </c>
      <c r="D105" s="5">
        <v>8.7499999999999994E-2</v>
      </c>
      <c r="E105">
        <v>11099</v>
      </c>
      <c r="F105" s="5">
        <v>0.52170000000000005</v>
      </c>
      <c r="G105">
        <v>8451</v>
      </c>
      <c r="H105" s="5">
        <v>6.6699999999999995E-2</v>
      </c>
      <c r="I105">
        <v>7</v>
      </c>
      <c r="J105" s="5">
        <v>3.3E-3</v>
      </c>
      <c r="K105">
        <v>1062</v>
      </c>
      <c r="L105" s="5">
        <v>1.0200000000000001E-2</v>
      </c>
      <c r="M105">
        <v>18128</v>
      </c>
      <c r="N105">
        <v>18128</v>
      </c>
      <c r="O105">
        <v>0</v>
      </c>
      <c r="P105" s="5">
        <v>0</v>
      </c>
      <c r="Q105">
        <v>167964</v>
      </c>
      <c r="R105">
        <v>62781</v>
      </c>
      <c r="S105">
        <v>1.31</v>
      </c>
      <c r="T105" t="s">
        <v>24</v>
      </c>
      <c r="U105" t="s">
        <v>29</v>
      </c>
      <c r="V105" t="s">
        <v>30</v>
      </c>
      <c r="W105">
        <v>71</v>
      </c>
    </row>
    <row r="106" spans="1:23" x14ac:dyDescent="0.25">
      <c r="A106" t="s">
        <v>22</v>
      </c>
      <c r="B106" t="s">
        <v>62</v>
      </c>
      <c r="C106">
        <v>0</v>
      </c>
      <c r="D106" s="5">
        <v>0</v>
      </c>
      <c r="E106">
        <v>0</v>
      </c>
      <c r="F106" s="5">
        <v>0</v>
      </c>
      <c r="G106">
        <v>0</v>
      </c>
      <c r="H106" s="5">
        <v>0</v>
      </c>
      <c r="I106">
        <v>0</v>
      </c>
      <c r="J106" s="5">
        <v>0</v>
      </c>
      <c r="K106">
        <v>0</v>
      </c>
      <c r="L106" s="5">
        <v>0</v>
      </c>
      <c r="M106">
        <v>120</v>
      </c>
      <c r="N106">
        <v>120</v>
      </c>
      <c r="O106">
        <v>0</v>
      </c>
      <c r="P106" s="5">
        <v>0</v>
      </c>
      <c r="Q106">
        <v>415045</v>
      </c>
      <c r="R106">
        <v>0</v>
      </c>
      <c r="T106" t="s">
        <v>33</v>
      </c>
      <c r="U106" t="s">
        <v>25</v>
      </c>
      <c r="V106" t="s">
        <v>30</v>
      </c>
      <c r="W106">
        <v>63</v>
      </c>
    </row>
    <row r="107" spans="1:23" x14ac:dyDescent="0.25">
      <c r="A107" t="s">
        <v>31</v>
      </c>
      <c r="B107" t="s">
        <v>62</v>
      </c>
      <c r="C107">
        <v>0</v>
      </c>
      <c r="D107" s="5">
        <v>0</v>
      </c>
      <c r="E107">
        <v>0</v>
      </c>
      <c r="F107" s="5">
        <v>0</v>
      </c>
      <c r="G107">
        <v>0</v>
      </c>
      <c r="H107" s="5">
        <v>0</v>
      </c>
      <c r="I107">
        <v>0</v>
      </c>
      <c r="J107" s="5">
        <v>0</v>
      </c>
      <c r="K107">
        <v>0</v>
      </c>
      <c r="L107" s="5">
        <v>0</v>
      </c>
      <c r="M107">
        <v>133</v>
      </c>
      <c r="N107">
        <v>133</v>
      </c>
      <c r="O107">
        <v>0</v>
      </c>
      <c r="P107" s="5">
        <v>0</v>
      </c>
      <c r="Q107">
        <v>466518</v>
      </c>
      <c r="R107">
        <v>0</v>
      </c>
      <c r="T107" t="s">
        <v>33</v>
      </c>
      <c r="U107" t="s">
        <v>25</v>
      </c>
      <c r="V107" t="s">
        <v>30</v>
      </c>
      <c r="W107">
        <v>66</v>
      </c>
    </row>
    <row r="108" spans="1:23" x14ac:dyDescent="0.25">
      <c r="A108" t="s">
        <v>34</v>
      </c>
      <c r="B108" t="s">
        <v>62</v>
      </c>
      <c r="C108">
        <v>0</v>
      </c>
      <c r="D108" s="5">
        <v>0</v>
      </c>
      <c r="E108">
        <v>0</v>
      </c>
      <c r="F108" s="5">
        <v>0</v>
      </c>
      <c r="G108">
        <v>0</v>
      </c>
      <c r="H108" s="5">
        <v>0</v>
      </c>
      <c r="I108">
        <v>0</v>
      </c>
      <c r="J108" s="5">
        <v>0</v>
      </c>
      <c r="K108">
        <v>0</v>
      </c>
      <c r="L108" s="5">
        <v>0</v>
      </c>
      <c r="M108">
        <v>124</v>
      </c>
      <c r="N108">
        <v>124</v>
      </c>
      <c r="O108">
        <v>0</v>
      </c>
      <c r="P108" s="5">
        <v>0</v>
      </c>
      <c r="Q108">
        <v>520466</v>
      </c>
      <c r="R108">
        <v>0</v>
      </c>
      <c r="T108" t="s">
        <v>33</v>
      </c>
      <c r="U108" t="s">
        <v>25</v>
      </c>
      <c r="V108" t="s">
        <v>30</v>
      </c>
      <c r="W108">
        <v>70</v>
      </c>
    </row>
    <row r="109" spans="1:23" x14ac:dyDescent="0.25">
      <c r="A109" t="s">
        <v>39</v>
      </c>
      <c r="B109" t="s">
        <v>62</v>
      </c>
      <c r="C109">
        <v>6</v>
      </c>
      <c r="D109" s="5">
        <v>2E-3</v>
      </c>
      <c r="E109">
        <v>0</v>
      </c>
      <c r="F109" s="5">
        <v>0</v>
      </c>
      <c r="G109">
        <v>5</v>
      </c>
      <c r="H109" s="5">
        <v>2.3999999999999998E-3</v>
      </c>
      <c r="I109">
        <v>0</v>
      </c>
      <c r="J109" s="5">
        <v>0</v>
      </c>
      <c r="K109">
        <v>0</v>
      </c>
      <c r="L109" s="5">
        <v>0</v>
      </c>
      <c r="M109">
        <v>133</v>
      </c>
      <c r="N109">
        <v>133</v>
      </c>
      <c r="O109">
        <v>0</v>
      </c>
      <c r="P109" s="5">
        <v>3.0000000000000001E-3</v>
      </c>
      <c r="Q109">
        <v>587743</v>
      </c>
      <c r="R109">
        <v>11</v>
      </c>
      <c r="S109">
        <v>0</v>
      </c>
      <c r="T109" t="s">
        <v>24</v>
      </c>
      <c r="U109" t="s">
        <v>25</v>
      </c>
      <c r="V109" t="s">
        <v>38</v>
      </c>
      <c r="W109">
        <v>80</v>
      </c>
    </row>
    <row r="110" spans="1:23" x14ac:dyDescent="0.25">
      <c r="A110" t="s">
        <v>22</v>
      </c>
      <c r="B110" t="s">
        <v>63</v>
      </c>
      <c r="C110">
        <v>23934</v>
      </c>
      <c r="D110" s="5">
        <v>1.9800000000000002E-2</v>
      </c>
      <c r="E110">
        <v>4263</v>
      </c>
      <c r="F110" s="5">
        <v>0.28299999999999997</v>
      </c>
      <c r="G110">
        <v>949</v>
      </c>
      <c r="H110" s="5">
        <v>4.7000000000000002E-3</v>
      </c>
      <c r="I110">
        <v>0</v>
      </c>
      <c r="J110" s="5">
        <v>0</v>
      </c>
      <c r="K110">
        <v>884</v>
      </c>
      <c r="L110" s="5">
        <v>9.7000000000000003E-3</v>
      </c>
      <c r="M110">
        <v>16263</v>
      </c>
      <c r="N110">
        <v>16263</v>
      </c>
      <c r="O110">
        <v>0</v>
      </c>
      <c r="P110" s="5">
        <v>0</v>
      </c>
      <c r="Q110">
        <v>209628</v>
      </c>
      <c r="R110">
        <v>30030</v>
      </c>
      <c r="S110">
        <v>4.49</v>
      </c>
      <c r="T110" t="s">
        <v>28</v>
      </c>
      <c r="U110" t="s">
        <v>25</v>
      </c>
      <c r="V110" t="s">
        <v>30</v>
      </c>
      <c r="W110">
        <v>61</v>
      </c>
    </row>
    <row r="111" spans="1:23" x14ac:dyDescent="0.25">
      <c r="A111" t="s">
        <v>31</v>
      </c>
      <c r="B111" t="s">
        <v>63</v>
      </c>
      <c r="C111">
        <v>61626</v>
      </c>
      <c r="D111" s="5">
        <v>4.6199999999999998E-2</v>
      </c>
      <c r="E111">
        <v>2691</v>
      </c>
      <c r="F111" s="5">
        <v>0.1211</v>
      </c>
      <c r="G111">
        <v>2456</v>
      </c>
      <c r="H111" s="5">
        <v>1.0500000000000001E-2</v>
      </c>
      <c r="I111">
        <v>0</v>
      </c>
      <c r="J111" s="5">
        <v>0</v>
      </c>
      <c r="K111">
        <v>182</v>
      </c>
      <c r="L111" s="5">
        <v>1.6999999999999999E-3</v>
      </c>
      <c r="M111">
        <v>16891</v>
      </c>
      <c r="N111">
        <v>16891</v>
      </c>
      <c r="O111">
        <v>0</v>
      </c>
      <c r="P111" s="5">
        <v>0</v>
      </c>
      <c r="Q111">
        <v>242339</v>
      </c>
      <c r="R111">
        <v>66955</v>
      </c>
      <c r="S111">
        <v>1.1000000000000001</v>
      </c>
      <c r="T111" t="s">
        <v>24</v>
      </c>
      <c r="U111" t="s">
        <v>25</v>
      </c>
      <c r="V111" t="s">
        <v>30</v>
      </c>
      <c r="W111">
        <v>76</v>
      </c>
    </row>
    <row r="112" spans="1:23" x14ac:dyDescent="0.25">
      <c r="A112" t="s">
        <v>34</v>
      </c>
      <c r="B112" t="s">
        <v>63</v>
      </c>
      <c r="C112">
        <v>78422</v>
      </c>
      <c r="D112" s="5">
        <v>5.6000000000000001E-2</v>
      </c>
      <c r="E112">
        <v>5375</v>
      </c>
      <c r="F112" s="5">
        <v>0.1201</v>
      </c>
      <c r="G112">
        <v>6019</v>
      </c>
      <c r="H112" s="5">
        <v>2.3099999999999999E-2</v>
      </c>
      <c r="I112">
        <v>43</v>
      </c>
      <c r="J112" s="5">
        <v>9.7000000000000003E-3</v>
      </c>
      <c r="K112">
        <v>383</v>
      </c>
      <c r="L112" s="5">
        <v>3.3E-3</v>
      </c>
      <c r="M112">
        <v>17729</v>
      </c>
      <c r="N112">
        <v>17729</v>
      </c>
      <c r="O112">
        <v>0</v>
      </c>
      <c r="P112" s="5">
        <v>0</v>
      </c>
      <c r="Q112">
        <v>277802</v>
      </c>
      <c r="R112">
        <v>90242</v>
      </c>
      <c r="S112">
        <v>0.89</v>
      </c>
      <c r="T112" t="s">
        <v>24</v>
      </c>
      <c r="U112" t="s">
        <v>25</v>
      </c>
      <c r="V112" t="s">
        <v>30</v>
      </c>
      <c r="W112">
        <v>79</v>
      </c>
    </row>
    <row r="113" spans="1:23" x14ac:dyDescent="0.25">
      <c r="A113" t="s">
        <v>39</v>
      </c>
      <c r="B113" t="s">
        <v>63</v>
      </c>
      <c r="C113">
        <v>92522</v>
      </c>
      <c r="D113" s="5">
        <v>0.1069</v>
      </c>
      <c r="E113">
        <v>4470</v>
      </c>
      <c r="F113" s="5">
        <v>0.1653</v>
      </c>
      <c r="G113">
        <v>9165</v>
      </c>
      <c r="H113" s="5">
        <v>5.7700000000000001E-2</v>
      </c>
      <c r="I113">
        <v>277</v>
      </c>
      <c r="J113" s="5">
        <v>6.8099999999999994E-2</v>
      </c>
      <c r="K113">
        <v>991</v>
      </c>
      <c r="L113" s="5">
        <v>1.4500000000000001E-2</v>
      </c>
      <c r="M113">
        <v>19045</v>
      </c>
      <c r="N113">
        <v>19045</v>
      </c>
      <c r="O113">
        <v>0</v>
      </c>
      <c r="P113" s="5">
        <v>0</v>
      </c>
      <c r="Q113">
        <v>315220</v>
      </c>
      <c r="R113">
        <v>107425</v>
      </c>
      <c r="S113">
        <v>0.49</v>
      </c>
      <c r="T113" t="s">
        <v>24</v>
      </c>
      <c r="U113" t="s">
        <v>25</v>
      </c>
      <c r="V113" t="s">
        <v>30</v>
      </c>
      <c r="W113">
        <v>81</v>
      </c>
    </row>
    <row r="114" spans="1:23" x14ac:dyDescent="0.25">
      <c r="A114" t="s">
        <v>22</v>
      </c>
      <c r="B114" t="s">
        <v>64</v>
      </c>
      <c r="C114">
        <v>0</v>
      </c>
      <c r="D114" s="5">
        <v>0</v>
      </c>
      <c r="E114">
        <v>0</v>
      </c>
      <c r="F114" s="5">
        <v>0</v>
      </c>
      <c r="G114">
        <v>0</v>
      </c>
      <c r="H114" s="5">
        <v>0</v>
      </c>
      <c r="I114">
        <v>0</v>
      </c>
      <c r="J114" s="5">
        <v>0</v>
      </c>
      <c r="K114">
        <v>0</v>
      </c>
      <c r="L114" s="5">
        <v>0</v>
      </c>
      <c r="M114">
        <v>13688</v>
      </c>
      <c r="N114">
        <v>13688</v>
      </c>
      <c r="O114">
        <v>0</v>
      </c>
      <c r="P114" s="5">
        <v>0</v>
      </c>
      <c r="Q114">
        <v>225734</v>
      </c>
      <c r="R114">
        <v>0</v>
      </c>
      <c r="T114" t="s">
        <v>33</v>
      </c>
      <c r="U114" t="s">
        <v>25</v>
      </c>
      <c r="V114" t="s">
        <v>30</v>
      </c>
      <c r="W114">
        <v>50</v>
      </c>
    </row>
    <row r="115" spans="1:23" x14ac:dyDescent="0.25">
      <c r="A115" t="s">
        <v>31</v>
      </c>
      <c r="B115" t="s">
        <v>64</v>
      </c>
      <c r="C115">
        <v>0</v>
      </c>
      <c r="D115" s="5">
        <v>0</v>
      </c>
      <c r="E115">
        <v>0</v>
      </c>
      <c r="F115" s="5">
        <v>0</v>
      </c>
      <c r="G115">
        <v>0</v>
      </c>
      <c r="H115" s="5">
        <v>0</v>
      </c>
      <c r="I115">
        <v>0</v>
      </c>
      <c r="J115" s="5">
        <v>0</v>
      </c>
      <c r="K115">
        <v>0</v>
      </c>
      <c r="L115" s="5">
        <v>0</v>
      </c>
      <c r="M115">
        <v>14163</v>
      </c>
      <c r="N115">
        <v>14160</v>
      </c>
      <c r="O115">
        <v>3</v>
      </c>
      <c r="P115" s="5">
        <v>2.0000000000000001E-4</v>
      </c>
      <c r="Q115">
        <v>269000</v>
      </c>
      <c r="R115">
        <v>0</v>
      </c>
      <c r="T115" t="s">
        <v>33</v>
      </c>
      <c r="U115" t="s">
        <v>25</v>
      </c>
      <c r="V115" t="s">
        <v>38</v>
      </c>
      <c r="W115">
        <v>53</v>
      </c>
    </row>
    <row r="116" spans="1:23" x14ac:dyDescent="0.25">
      <c r="A116" t="s">
        <v>34</v>
      </c>
      <c r="B116" t="s">
        <v>64</v>
      </c>
      <c r="C116">
        <v>0</v>
      </c>
      <c r="D116" s="5">
        <v>0</v>
      </c>
      <c r="E116">
        <v>0</v>
      </c>
      <c r="F116" s="5">
        <v>0</v>
      </c>
      <c r="G116">
        <v>0</v>
      </c>
      <c r="H116" s="5">
        <v>0</v>
      </c>
      <c r="I116">
        <v>0</v>
      </c>
      <c r="J116" s="5">
        <v>0</v>
      </c>
      <c r="K116">
        <v>0</v>
      </c>
      <c r="L116" s="5">
        <v>0</v>
      </c>
      <c r="M116">
        <v>15497</v>
      </c>
      <c r="N116">
        <v>15497</v>
      </c>
      <c r="O116">
        <v>0</v>
      </c>
      <c r="P116" s="5">
        <v>0</v>
      </c>
      <c r="Q116">
        <v>312522</v>
      </c>
      <c r="R116">
        <v>0</v>
      </c>
      <c r="T116" t="s">
        <v>33</v>
      </c>
      <c r="U116" t="s">
        <v>25</v>
      </c>
      <c r="V116" t="s">
        <v>30</v>
      </c>
      <c r="W116">
        <v>56</v>
      </c>
    </row>
    <row r="117" spans="1:23" x14ac:dyDescent="0.25">
      <c r="A117" t="s">
        <v>39</v>
      </c>
      <c r="B117" t="s">
        <v>64</v>
      </c>
      <c r="C117">
        <v>8969</v>
      </c>
      <c r="D117" s="5">
        <v>0.15440000000000001</v>
      </c>
      <c r="E117">
        <v>0</v>
      </c>
      <c r="F117" s="5">
        <v>0</v>
      </c>
      <c r="G117">
        <v>3320</v>
      </c>
      <c r="H117" s="5">
        <v>0.16370000000000001</v>
      </c>
      <c r="I117">
        <v>0</v>
      </c>
      <c r="J117" s="5">
        <v>0</v>
      </c>
      <c r="K117">
        <v>0</v>
      </c>
      <c r="L117" s="5">
        <v>0</v>
      </c>
      <c r="M117">
        <v>15622</v>
      </c>
      <c r="N117">
        <v>15622</v>
      </c>
      <c r="O117">
        <v>0</v>
      </c>
      <c r="P117" s="5">
        <v>0</v>
      </c>
      <c r="Q117">
        <v>356564</v>
      </c>
      <c r="R117">
        <v>12289</v>
      </c>
      <c r="S117">
        <v>0</v>
      </c>
      <c r="T117" t="s">
        <v>24</v>
      </c>
      <c r="U117" t="s">
        <v>25</v>
      </c>
      <c r="V117" t="s">
        <v>30</v>
      </c>
      <c r="W117">
        <v>84</v>
      </c>
    </row>
    <row r="118" spans="1:23" x14ac:dyDescent="0.25">
      <c r="A118" t="s">
        <v>22</v>
      </c>
      <c r="B118" t="s">
        <v>65</v>
      </c>
      <c r="C118">
        <v>3</v>
      </c>
      <c r="D118" s="5">
        <v>1E-4</v>
      </c>
      <c r="E118">
        <v>2426</v>
      </c>
      <c r="F118" s="5">
        <v>0.41639999999999999</v>
      </c>
      <c r="G118">
        <v>5</v>
      </c>
      <c r="H118" s="5">
        <v>1.1999999999999999E-3</v>
      </c>
      <c r="I118">
        <v>0</v>
      </c>
      <c r="J118" s="5">
        <v>0</v>
      </c>
      <c r="K118">
        <v>1</v>
      </c>
      <c r="L118" s="5">
        <v>4.0000000000000002E-4</v>
      </c>
      <c r="M118">
        <v>317</v>
      </c>
      <c r="N118">
        <v>315</v>
      </c>
      <c r="O118">
        <v>2</v>
      </c>
      <c r="P118" s="5">
        <v>6.3E-3</v>
      </c>
      <c r="Q118">
        <v>118401</v>
      </c>
      <c r="R118">
        <v>2435</v>
      </c>
      <c r="S118">
        <v>100</v>
      </c>
      <c r="T118" t="s">
        <v>36</v>
      </c>
      <c r="U118" t="s">
        <v>29</v>
      </c>
      <c r="V118" t="s">
        <v>38</v>
      </c>
      <c r="W118">
        <v>46</v>
      </c>
    </row>
    <row r="119" spans="1:23" x14ac:dyDescent="0.25">
      <c r="A119" t="s">
        <v>31</v>
      </c>
      <c r="B119" t="s">
        <v>65</v>
      </c>
      <c r="C119">
        <v>196</v>
      </c>
      <c r="D119" s="5">
        <v>5.3E-3</v>
      </c>
      <c r="E119">
        <v>3975</v>
      </c>
      <c r="F119" s="5">
        <v>0.49509999999999998</v>
      </c>
      <c r="G119">
        <v>0</v>
      </c>
      <c r="H119" s="5">
        <v>0</v>
      </c>
      <c r="I119">
        <v>0</v>
      </c>
      <c r="J119" s="5">
        <v>0</v>
      </c>
      <c r="K119">
        <v>7</v>
      </c>
      <c r="L119" s="5">
        <v>2.5000000000000001E-3</v>
      </c>
      <c r="M119">
        <v>328</v>
      </c>
      <c r="N119">
        <v>327</v>
      </c>
      <c r="O119">
        <v>1</v>
      </c>
      <c r="P119" s="5">
        <v>3.0000000000000001E-3</v>
      </c>
      <c r="Q119">
        <v>137032</v>
      </c>
      <c r="R119">
        <v>4178</v>
      </c>
      <c r="T119" t="s">
        <v>33</v>
      </c>
      <c r="U119" t="s">
        <v>29</v>
      </c>
      <c r="V119" t="s">
        <v>38</v>
      </c>
      <c r="W119">
        <v>44</v>
      </c>
    </row>
    <row r="120" spans="1:23" x14ac:dyDescent="0.25">
      <c r="A120" t="s">
        <v>34</v>
      </c>
      <c r="B120" t="s">
        <v>65</v>
      </c>
      <c r="C120">
        <v>256</v>
      </c>
      <c r="D120" s="5">
        <v>6.4999999999999997E-3</v>
      </c>
      <c r="E120">
        <v>6025</v>
      </c>
      <c r="F120" s="5">
        <v>0.61829999999999996</v>
      </c>
      <c r="G120">
        <v>30</v>
      </c>
      <c r="H120" s="5">
        <v>5.5999999999999999E-3</v>
      </c>
      <c r="I120">
        <v>0</v>
      </c>
      <c r="J120" s="5">
        <v>0</v>
      </c>
      <c r="K120">
        <v>1</v>
      </c>
      <c r="L120" s="5">
        <v>4.0000000000000002E-4</v>
      </c>
      <c r="M120">
        <v>333</v>
      </c>
      <c r="N120">
        <v>333</v>
      </c>
      <c r="O120">
        <v>0</v>
      </c>
      <c r="P120" s="5">
        <v>0</v>
      </c>
      <c r="Q120">
        <v>157364</v>
      </c>
      <c r="R120">
        <v>6312</v>
      </c>
      <c r="S120">
        <v>100</v>
      </c>
      <c r="T120" t="s">
        <v>36</v>
      </c>
      <c r="U120" t="s">
        <v>29</v>
      </c>
      <c r="V120" t="s">
        <v>30</v>
      </c>
      <c r="W120">
        <v>59</v>
      </c>
    </row>
    <row r="121" spans="1:23" x14ac:dyDescent="0.25">
      <c r="A121" t="s">
        <v>39</v>
      </c>
      <c r="B121" t="s">
        <v>65</v>
      </c>
      <c r="C121">
        <v>195</v>
      </c>
      <c r="D121" s="5">
        <v>1.38E-2</v>
      </c>
      <c r="E121">
        <v>3438</v>
      </c>
      <c r="F121" s="5">
        <v>0.77090000000000003</v>
      </c>
      <c r="G121">
        <v>14</v>
      </c>
      <c r="H121" s="5">
        <v>4.5999999999999999E-3</v>
      </c>
      <c r="I121">
        <v>0</v>
      </c>
      <c r="J121" s="5">
        <v>0</v>
      </c>
      <c r="K121">
        <v>52</v>
      </c>
      <c r="L121" s="5">
        <v>3.6999999999999998E-2</v>
      </c>
      <c r="M121">
        <v>362</v>
      </c>
      <c r="N121">
        <v>362</v>
      </c>
      <c r="O121">
        <v>0</v>
      </c>
      <c r="P121" s="5">
        <v>0</v>
      </c>
      <c r="Q121">
        <v>177723</v>
      </c>
      <c r="R121">
        <v>3699</v>
      </c>
      <c r="S121">
        <v>100</v>
      </c>
      <c r="T121" t="s">
        <v>36</v>
      </c>
      <c r="U121" t="s">
        <v>29</v>
      </c>
      <c r="V121" t="s">
        <v>30</v>
      </c>
      <c r="W121">
        <v>58</v>
      </c>
    </row>
    <row r="122" spans="1:23" x14ac:dyDescent="0.25">
      <c r="A122" t="s">
        <v>22</v>
      </c>
      <c r="B122" t="s">
        <v>66</v>
      </c>
      <c r="C122">
        <v>6290</v>
      </c>
      <c r="D122" s="5">
        <v>2.8999999999999998E-3</v>
      </c>
      <c r="E122">
        <v>60117</v>
      </c>
      <c r="F122" s="5">
        <v>0.65059999999999996</v>
      </c>
      <c r="G122">
        <v>79</v>
      </c>
      <c r="H122" s="5">
        <v>2.0000000000000001E-4</v>
      </c>
      <c r="I122">
        <v>192</v>
      </c>
      <c r="J122" s="5">
        <v>0.1411</v>
      </c>
      <c r="K122">
        <v>24</v>
      </c>
      <c r="L122" s="5">
        <v>1E-4</v>
      </c>
      <c r="M122">
        <v>23797</v>
      </c>
      <c r="N122">
        <v>23747</v>
      </c>
      <c r="O122">
        <v>50</v>
      </c>
      <c r="P122" s="5">
        <v>2.0999999999999999E-3</v>
      </c>
      <c r="Q122">
        <v>61598</v>
      </c>
      <c r="R122">
        <v>66702</v>
      </c>
      <c r="S122">
        <v>100</v>
      </c>
      <c r="T122" t="s">
        <v>36</v>
      </c>
      <c r="U122" t="s">
        <v>37</v>
      </c>
      <c r="V122" t="s">
        <v>38</v>
      </c>
      <c r="W122">
        <v>40</v>
      </c>
    </row>
    <row r="123" spans="1:23" x14ac:dyDescent="0.25">
      <c r="A123" t="s">
        <v>31</v>
      </c>
      <c r="B123" t="s">
        <v>66</v>
      </c>
      <c r="C123">
        <v>23581</v>
      </c>
      <c r="D123" s="5">
        <v>1.04E-2</v>
      </c>
      <c r="E123">
        <v>138569</v>
      </c>
      <c r="F123" s="5">
        <v>0.76839999999999997</v>
      </c>
      <c r="G123">
        <v>210</v>
      </c>
      <c r="H123" s="5">
        <v>5.9999999999999995E-4</v>
      </c>
      <c r="I123">
        <v>465</v>
      </c>
      <c r="J123" s="5">
        <v>9.0499999999999997E-2</v>
      </c>
      <c r="K123">
        <v>32</v>
      </c>
      <c r="L123" s="5">
        <v>2.0000000000000001E-4</v>
      </c>
      <c r="M123">
        <v>24965</v>
      </c>
      <c r="N123">
        <v>24795</v>
      </c>
      <c r="O123">
        <v>170</v>
      </c>
      <c r="P123" s="5">
        <v>6.7999999999999996E-3</v>
      </c>
      <c r="Q123">
        <v>74055</v>
      </c>
      <c r="R123">
        <v>162857</v>
      </c>
      <c r="S123">
        <v>100</v>
      </c>
      <c r="T123" t="s">
        <v>36</v>
      </c>
      <c r="U123" t="s">
        <v>37</v>
      </c>
      <c r="V123" t="s">
        <v>38</v>
      </c>
      <c r="W123">
        <v>41</v>
      </c>
    </row>
    <row r="124" spans="1:23" x14ac:dyDescent="0.25">
      <c r="A124" t="s">
        <v>34</v>
      </c>
      <c r="B124" t="s">
        <v>66</v>
      </c>
      <c r="C124">
        <v>39968</v>
      </c>
      <c r="D124" s="5">
        <v>1.6E-2</v>
      </c>
      <c r="E124">
        <v>232595</v>
      </c>
      <c r="F124" s="5">
        <v>0.81279999999999997</v>
      </c>
      <c r="G124">
        <v>4580</v>
      </c>
      <c r="H124" s="5">
        <v>1.15E-2</v>
      </c>
      <c r="I124">
        <v>50</v>
      </c>
      <c r="J124" s="5">
        <v>4.8999999999999998E-3</v>
      </c>
      <c r="K124">
        <v>107</v>
      </c>
      <c r="L124" s="5">
        <v>5.0000000000000001E-4</v>
      </c>
      <c r="M124">
        <v>27369</v>
      </c>
      <c r="N124">
        <v>26589</v>
      </c>
      <c r="O124">
        <v>780</v>
      </c>
      <c r="P124" s="5">
        <v>2.8500000000000001E-2</v>
      </c>
      <c r="Q124">
        <v>84126</v>
      </c>
      <c r="R124">
        <v>277300</v>
      </c>
      <c r="S124">
        <v>50.78</v>
      </c>
      <c r="T124" t="s">
        <v>36</v>
      </c>
      <c r="U124" t="s">
        <v>37</v>
      </c>
      <c r="V124" t="s">
        <v>38</v>
      </c>
      <c r="W124">
        <v>65</v>
      </c>
    </row>
    <row r="125" spans="1:23" x14ac:dyDescent="0.25">
      <c r="A125" t="s">
        <v>39</v>
      </c>
      <c r="B125" t="s">
        <v>66</v>
      </c>
      <c r="C125">
        <v>61823</v>
      </c>
      <c r="D125" s="5">
        <v>4.48E-2</v>
      </c>
      <c r="E125">
        <v>106430</v>
      </c>
      <c r="F125" s="5">
        <v>0.88139999999999996</v>
      </c>
      <c r="G125">
        <v>6577</v>
      </c>
      <c r="H125" s="5">
        <v>2.7799999999999998E-2</v>
      </c>
      <c r="I125">
        <v>61</v>
      </c>
      <c r="J125" s="5">
        <v>1.1299999999999999E-2</v>
      </c>
      <c r="K125">
        <v>678</v>
      </c>
      <c r="L125" s="5">
        <v>5.7999999999999996E-3</v>
      </c>
      <c r="M125">
        <v>28704</v>
      </c>
      <c r="N125">
        <v>28284</v>
      </c>
      <c r="O125">
        <v>420</v>
      </c>
      <c r="P125" s="5">
        <v>1.4999999999999999E-2</v>
      </c>
      <c r="Q125">
        <v>93514</v>
      </c>
      <c r="R125">
        <v>175569</v>
      </c>
      <c r="S125">
        <v>16.18</v>
      </c>
      <c r="T125" t="s">
        <v>36</v>
      </c>
      <c r="U125" t="s">
        <v>37</v>
      </c>
      <c r="V125" t="s">
        <v>38</v>
      </c>
      <c r="W125">
        <v>66</v>
      </c>
    </row>
    <row r="126" spans="1:23" x14ac:dyDescent="0.25">
      <c r="A126" t="s">
        <v>22</v>
      </c>
      <c r="B126" t="s">
        <v>67</v>
      </c>
      <c r="C126">
        <v>1211</v>
      </c>
      <c r="D126" s="5">
        <v>8.8000000000000005E-3</v>
      </c>
      <c r="E126">
        <v>3981</v>
      </c>
      <c r="F126" s="5">
        <v>0.79190000000000005</v>
      </c>
      <c r="G126">
        <v>122</v>
      </c>
      <c r="H126" s="5">
        <v>2.8E-3</v>
      </c>
      <c r="I126">
        <v>10</v>
      </c>
      <c r="J126" s="5">
        <v>8.4000000000000005E-2</v>
      </c>
      <c r="K126">
        <v>0</v>
      </c>
      <c r="L126" s="5">
        <v>0</v>
      </c>
      <c r="M126">
        <v>2372</v>
      </c>
      <c r="N126">
        <v>2372</v>
      </c>
      <c r="O126">
        <v>0</v>
      </c>
      <c r="P126" s="5">
        <v>0</v>
      </c>
      <c r="Q126">
        <v>174526</v>
      </c>
      <c r="R126">
        <v>5324</v>
      </c>
      <c r="S126">
        <v>32.630000000000003</v>
      </c>
      <c r="T126" t="s">
        <v>36</v>
      </c>
      <c r="U126" t="s">
        <v>29</v>
      </c>
      <c r="V126" t="s">
        <v>30</v>
      </c>
      <c r="W126">
        <v>54</v>
      </c>
    </row>
    <row r="127" spans="1:23" x14ac:dyDescent="0.25">
      <c r="A127" t="s">
        <v>31</v>
      </c>
      <c r="B127" t="s">
        <v>67</v>
      </c>
      <c r="C127">
        <v>5696</v>
      </c>
      <c r="D127" s="5">
        <v>3.5499999999999997E-2</v>
      </c>
      <c r="E127">
        <v>9456</v>
      </c>
      <c r="F127" s="5">
        <v>0.8851</v>
      </c>
      <c r="G127">
        <v>385</v>
      </c>
      <c r="H127" s="5">
        <v>7.9000000000000008E-3</v>
      </c>
      <c r="I127">
        <v>24</v>
      </c>
      <c r="J127" s="5">
        <v>4.2900000000000001E-2</v>
      </c>
      <c r="K127">
        <v>0</v>
      </c>
      <c r="L127" s="5">
        <v>0</v>
      </c>
      <c r="M127">
        <v>2468</v>
      </c>
      <c r="N127">
        <v>2468</v>
      </c>
      <c r="O127">
        <v>0</v>
      </c>
      <c r="P127" s="5">
        <v>0</v>
      </c>
      <c r="Q127">
        <v>205246</v>
      </c>
      <c r="R127">
        <v>15561</v>
      </c>
      <c r="S127">
        <v>24.56</v>
      </c>
      <c r="T127" t="s">
        <v>36</v>
      </c>
      <c r="U127" t="s">
        <v>25</v>
      </c>
      <c r="V127" t="s">
        <v>30</v>
      </c>
      <c r="W127">
        <v>68</v>
      </c>
    </row>
    <row r="128" spans="1:23" x14ac:dyDescent="0.25">
      <c r="A128" t="s">
        <v>34</v>
      </c>
      <c r="B128" t="s">
        <v>67</v>
      </c>
      <c r="C128">
        <v>5688</v>
      </c>
      <c r="D128" s="5">
        <v>3.27E-2</v>
      </c>
      <c r="E128">
        <v>10617</v>
      </c>
      <c r="F128" s="5">
        <v>0.80059999999999998</v>
      </c>
      <c r="G128">
        <v>488</v>
      </c>
      <c r="H128" s="5">
        <v>8.8000000000000005E-3</v>
      </c>
      <c r="I128">
        <v>0</v>
      </c>
      <c r="J128" s="5">
        <v>0</v>
      </c>
      <c r="K128">
        <v>1</v>
      </c>
      <c r="L128" s="5">
        <v>1E-4</v>
      </c>
      <c r="M128">
        <v>2594</v>
      </c>
      <c r="N128">
        <v>2594</v>
      </c>
      <c r="O128">
        <v>0</v>
      </c>
      <c r="P128" s="5">
        <v>0</v>
      </c>
      <c r="Q128">
        <v>230994</v>
      </c>
      <c r="R128">
        <v>16794</v>
      </c>
      <c r="S128">
        <v>21.76</v>
      </c>
      <c r="T128" t="s">
        <v>36</v>
      </c>
      <c r="U128" t="s">
        <v>25</v>
      </c>
      <c r="V128" t="s">
        <v>30</v>
      </c>
      <c r="W128">
        <v>72</v>
      </c>
    </row>
    <row r="129" spans="1:23" x14ac:dyDescent="0.25">
      <c r="A129" t="s">
        <v>39</v>
      </c>
      <c r="B129" t="s">
        <v>67</v>
      </c>
      <c r="C129">
        <v>4401</v>
      </c>
      <c r="D129" s="5">
        <v>5.2699999999999997E-2</v>
      </c>
      <c r="E129">
        <v>4224</v>
      </c>
      <c r="F129" s="5">
        <v>0.93720000000000003</v>
      </c>
      <c r="G129">
        <v>822</v>
      </c>
      <c r="H129" s="5">
        <v>2.4799999999999999E-2</v>
      </c>
      <c r="I129">
        <v>0</v>
      </c>
      <c r="J129" s="5">
        <v>0</v>
      </c>
      <c r="K129">
        <v>47</v>
      </c>
      <c r="L129" s="5">
        <v>7.7999999999999996E-3</v>
      </c>
      <c r="M129">
        <v>2635</v>
      </c>
      <c r="N129">
        <v>2405</v>
      </c>
      <c r="O129">
        <v>230</v>
      </c>
      <c r="P129" s="5">
        <v>8.6999999999999994E-2</v>
      </c>
      <c r="Q129">
        <v>260201</v>
      </c>
      <c r="R129">
        <v>9494</v>
      </c>
      <c r="S129">
        <v>5.14</v>
      </c>
      <c r="T129" t="s">
        <v>36</v>
      </c>
      <c r="U129" t="s">
        <v>25</v>
      </c>
      <c r="V129" t="s">
        <v>26</v>
      </c>
      <c r="W129">
        <v>74</v>
      </c>
    </row>
    <row r="130" spans="1:23" x14ac:dyDescent="0.25">
      <c r="A130" t="s">
        <v>22</v>
      </c>
      <c r="B130" t="s">
        <v>68</v>
      </c>
      <c r="C130">
        <v>915</v>
      </c>
      <c r="D130" s="5">
        <v>1.1000000000000001E-3</v>
      </c>
      <c r="E130">
        <v>5158</v>
      </c>
      <c r="F130" s="5">
        <v>0.4032</v>
      </c>
      <c r="G130">
        <v>334</v>
      </c>
      <c r="H130" s="5">
        <v>3.3999999999999998E-3</v>
      </c>
      <c r="I130">
        <v>1</v>
      </c>
      <c r="J130" s="5">
        <v>4.0000000000000002E-4</v>
      </c>
      <c r="K130">
        <v>0</v>
      </c>
      <c r="L130" s="5">
        <v>0</v>
      </c>
      <c r="M130">
        <v>8846</v>
      </c>
      <c r="N130">
        <v>8846</v>
      </c>
      <c r="O130">
        <v>0</v>
      </c>
      <c r="P130" s="5">
        <v>0</v>
      </c>
      <c r="Q130">
        <v>105109</v>
      </c>
      <c r="R130">
        <v>6408</v>
      </c>
      <c r="S130">
        <v>15.44</v>
      </c>
      <c r="T130" t="s">
        <v>36</v>
      </c>
      <c r="U130" t="s">
        <v>29</v>
      </c>
      <c r="V130" t="s">
        <v>30</v>
      </c>
      <c r="W130">
        <v>51</v>
      </c>
    </row>
    <row r="131" spans="1:23" x14ac:dyDescent="0.25">
      <c r="A131" t="s">
        <v>31</v>
      </c>
      <c r="B131" t="s">
        <v>68</v>
      </c>
      <c r="C131">
        <v>8410</v>
      </c>
      <c r="D131" s="5">
        <v>1.04E-2</v>
      </c>
      <c r="E131">
        <v>1766</v>
      </c>
      <c r="F131" s="5">
        <v>0.27510000000000001</v>
      </c>
      <c r="G131">
        <v>953</v>
      </c>
      <c r="H131" s="5">
        <v>9.1999999999999998E-3</v>
      </c>
      <c r="I131">
        <v>11</v>
      </c>
      <c r="J131" s="5">
        <v>3.7000000000000002E-3</v>
      </c>
      <c r="K131">
        <v>2</v>
      </c>
      <c r="L131" s="5">
        <v>0</v>
      </c>
      <c r="M131">
        <v>9089</v>
      </c>
      <c r="N131">
        <v>9087</v>
      </c>
      <c r="O131">
        <v>2</v>
      </c>
      <c r="P131" s="5">
        <v>2.0000000000000001E-4</v>
      </c>
      <c r="Q131">
        <v>121904</v>
      </c>
      <c r="R131">
        <v>11142</v>
      </c>
      <c r="S131">
        <v>1.85</v>
      </c>
      <c r="T131" t="s">
        <v>24</v>
      </c>
      <c r="U131" t="s">
        <v>29</v>
      </c>
      <c r="V131" t="s">
        <v>38</v>
      </c>
      <c r="W131">
        <v>66</v>
      </c>
    </row>
    <row r="132" spans="1:23" x14ac:dyDescent="0.25">
      <c r="A132" t="s">
        <v>34</v>
      </c>
      <c r="B132" t="s">
        <v>68</v>
      </c>
      <c r="C132">
        <v>11429</v>
      </c>
      <c r="D132" s="5">
        <v>1.37E-2</v>
      </c>
      <c r="E132">
        <v>7272</v>
      </c>
      <c r="F132" s="5">
        <v>0.56159999999999999</v>
      </c>
      <c r="G132">
        <v>2602</v>
      </c>
      <c r="H132" s="5">
        <v>2.46E-2</v>
      </c>
      <c r="I132">
        <v>14</v>
      </c>
      <c r="J132" s="5">
        <v>4.3E-3</v>
      </c>
      <c r="K132">
        <v>138</v>
      </c>
      <c r="L132" s="5">
        <v>2.8999999999999998E-3</v>
      </c>
      <c r="M132">
        <v>10125</v>
      </c>
      <c r="N132">
        <v>9900</v>
      </c>
      <c r="O132">
        <v>225</v>
      </c>
      <c r="P132" s="5">
        <v>2.2200000000000001E-2</v>
      </c>
      <c r="Q132">
        <v>139442</v>
      </c>
      <c r="R132">
        <v>21455</v>
      </c>
      <c r="S132">
        <v>2.79</v>
      </c>
      <c r="T132" t="s">
        <v>28</v>
      </c>
      <c r="U132" t="s">
        <v>29</v>
      </c>
      <c r="V132" t="s">
        <v>38</v>
      </c>
      <c r="W132">
        <v>69</v>
      </c>
    </row>
    <row r="133" spans="1:23" x14ac:dyDescent="0.25">
      <c r="A133" t="s">
        <v>39</v>
      </c>
      <c r="B133" t="s">
        <v>68</v>
      </c>
      <c r="C133">
        <v>7774</v>
      </c>
      <c r="D133" s="5">
        <v>0.03</v>
      </c>
      <c r="E133">
        <v>38851</v>
      </c>
      <c r="F133" s="5">
        <v>0.94579999999999997</v>
      </c>
      <c r="G133">
        <v>1745</v>
      </c>
      <c r="H133" s="5">
        <v>5.1299999999999998E-2</v>
      </c>
      <c r="I133">
        <v>20</v>
      </c>
      <c r="J133" s="5">
        <v>1.32E-2</v>
      </c>
      <c r="K133">
        <v>96</v>
      </c>
      <c r="L133" s="5">
        <v>5.4999999999999997E-3</v>
      </c>
      <c r="M133">
        <v>11626</v>
      </c>
      <c r="N133">
        <v>11626</v>
      </c>
      <c r="O133">
        <v>0</v>
      </c>
      <c r="P133" s="5">
        <v>0</v>
      </c>
      <c r="Q133">
        <v>154119</v>
      </c>
      <c r="R133">
        <v>48486</v>
      </c>
      <c r="S133">
        <v>22.26</v>
      </c>
      <c r="T133" t="s">
        <v>36</v>
      </c>
      <c r="U133" t="s">
        <v>29</v>
      </c>
      <c r="V133" t="s">
        <v>30</v>
      </c>
      <c r="W133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3182-A0C4-4082-9FD9-78E9882DE391}">
  <dimension ref="A1:AF227"/>
  <sheetViews>
    <sheetView zoomScale="85" zoomScaleNormal="85" workbookViewId="0">
      <selection activeCell="N44" sqref="N44"/>
    </sheetView>
  </sheetViews>
  <sheetFormatPr defaultColWidth="9.5703125" defaultRowHeight="15" x14ac:dyDescent="0.25"/>
  <cols>
    <col min="1" max="1" width="2.28515625" bestFit="1" customWidth="1"/>
    <col min="2" max="2" width="9.5703125" customWidth="1"/>
    <col min="4" max="4" width="13.140625" bestFit="1" customWidth="1"/>
    <col min="5" max="5" width="29.85546875" bestFit="1" customWidth="1"/>
    <col min="6" max="8" width="7" bestFit="1" customWidth="1"/>
    <col min="9" max="9" width="11.28515625" bestFit="1" customWidth="1"/>
    <col min="10" max="10" width="6.42578125" bestFit="1" customWidth="1"/>
    <col min="11" max="13" width="5" bestFit="1" customWidth="1"/>
    <col min="14" max="14" width="9.42578125" bestFit="1" customWidth="1"/>
    <col min="15" max="15" width="9.28515625" bestFit="1" customWidth="1"/>
    <col min="16" max="18" width="5" bestFit="1" customWidth="1"/>
    <col min="19" max="19" width="12.28515625" bestFit="1" customWidth="1"/>
    <col min="20" max="20" width="11.28515625" bestFit="1" customWidth="1"/>
    <col min="21" max="21" width="15.85546875" bestFit="1" customWidth="1"/>
    <col min="22" max="22" width="12.140625" bestFit="1" customWidth="1"/>
    <col min="23" max="23" width="8.5703125" bestFit="1" customWidth="1"/>
    <col min="24" max="24" width="10.7109375" bestFit="1" customWidth="1"/>
    <col min="25" max="25" width="8.85546875" bestFit="1" customWidth="1"/>
    <col min="26" max="26" width="9.28515625" bestFit="1" customWidth="1"/>
    <col min="27" max="27" width="7.140625" bestFit="1" customWidth="1"/>
    <col min="28" max="28" width="11.140625" bestFit="1" customWidth="1"/>
    <col min="29" max="29" width="7.140625" bestFit="1" customWidth="1"/>
    <col min="31" max="31" width="6.85546875" bestFit="1" customWidth="1"/>
    <col min="32" max="32" width="11" bestFit="1" customWidth="1"/>
    <col min="33" max="33" width="10" bestFit="1" customWidth="1"/>
    <col min="34" max="34" width="7.28515625" bestFit="1" customWidth="1"/>
    <col min="35" max="35" width="13.28515625" bestFit="1" customWidth="1"/>
    <col min="36" max="36" width="12" bestFit="1" customWidth="1"/>
    <col min="37" max="37" width="12.140625" bestFit="1" customWidth="1"/>
    <col min="38" max="38" width="11.28515625" bestFit="1" customWidth="1"/>
    <col min="39" max="39" width="24.85546875" bestFit="1" customWidth="1"/>
    <col min="40" max="40" width="15.140625" bestFit="1" customWidth="1"/>
    <col min="41" max="41" width="17.7109375" bestFit="1" customWidth="1"/>
    <col min="42" max="42" width="6.7109375" bestFit="1" customWidth="1"/>
    <col min="43" max="43" width="5.5703125" bestFit="1" customWidth="1"/>
    <col min="44" max="44" width="11" bestFit="1" customWidth="1"/>
    <col min="45" max="45" width="12.140625" bestFit="1" customWidth="1"/>
    <col min="46" max="46" width="5.7109375" bestFit="1" customWidth="1"/>
    <col min="47" max="47" width="4.5703125" bestFit="1" customWidth="1"/>
    <col min="48" max="48" width="7.5703125" bestFit="1" customWidth="1"/>
    <col min="49" max="49" width="8.140625" bestFit="1" customWidth="1"/>
    <col min="50" max="50" width="16.85546875" bestFit="1" customWidth="1"/>
    <col min="51" max="51" width="18.85546875" bestFit="1" customWidth="1"/>
    <col min="52" max="52" width="10" bestFit="1" customWidth="1"/>
    <col min="53" max="53" width="9.7109375" bestFit="1" customWidth="1"/>
    <col min="54" max="54" width="6.5703125" bestFit="1" customWidth="1"/>
    <col min="55" max="55" width="15.85546875" bestFit="1" customWidth="1"/>
    <col min="56" max="56" width="12.140625" bestFit="1" customWidth="1"/>
    <col min="57" max="57" width="8.5703125" bestFit="1" customWidth="1"/>
    <col min="58" max="58" width="10.7109375" bestFit="1" customWidth="1"/>
    <col min="59" max="59" width="8.85546875" bestFit="1" customWidth="1"/>
    <col min="60" max="60" width="9.28515625" bestFit="1" customWidth="1"/>
    <col min="61" max="61" width="7.140625" bestFit="1" customWidth="1"/>
    <col min="62" max="62" width="11.140625" bestFit="1" customWidth="1"/>
    <col min="63" max="63" width="7.140625" bestFit="1" customWidth="1"/>
    <col min="65" max="65" width="6.85546875" bestFit="1" customWidth="1"/>
    <col min="66" max="66" width="11" bestFit="1" customWidth="1"/>
    <col min="67" max="67" width="10" bestFit="1" customWidth="1"/>
    <col min="68" max="68" width="7.28515625" bestFit="1" customWidth="1"/>
    <col min="69" max="69" width="13.28515625" bestFit="1" customWidth="1"/>
    <col min="70" max="70" width="12" bestFit="1" customWidth="1"/>
    <col min="71" max="71" width="12.140625" bestFit="1" customWidth="1"/>
    <col min="72" max="72" width="9.85546875" bestFit="1" customWidth="1"/>
    <col min="73" max="73" width="24.85546875" bestFit="1" customWidth="1"/>
    <col min="74" max="74" width="15.140625" bestFit="1" customWidth="1"/>
    <col min="75" max="75" width="17.7109375" bestFit="1" customWidth="1"/>
    <col min="76" max="76" width="6.7109375" bestFit="1" customWidth="1"/>
    <col min="77" max="77" width="5.5703125" bestFit="1" customWidth="1"/>
    <col min="78" max="78" width="11" bestFit="1" customWidth="1"/>
    <col min="79" max="79" width="12.140625" bestFit="1" customWidth="1"/>
    <col min="80" max="80" width="5.7109375" bestFit="1" customWidth="1"/>
    <col min="81" max="81" width="4.5703125" bestFit="1" customWidth="1"/>
    <col min="82" max="82" width="7.5703125" bestFit="1" customWidth="1"/>
    <col min="83" max="83" width="8.140625" bestFit="1" customWidth="1"/>
    <col min="84" max="84" width="16.85546875" bestFit="1" customWidth="1"/>
    <col min="85" max="85" width="18.85546875" bestFit="1" customWidth="1"/>
    <col min="86" max="86" width="10" bestFit="1" customWidth="1"/>
    <col min="87" max="87" width="9.7109375" bestFit="1" customWidth="1"/>
    <col min="88" max="88" width="6.5703125" bestFit="1" customWidth="1"/>
    <col min="89" max="89" width="15.85546875" bestFit="1" customWidth="1"/>
    <col min="90" max="90" width="12.140625" bestFit="1" customWidth="1"/>
    <col min="91" max="91" width="8.5703125" bestFit="1" customWidth="1"/>
    <col min="92" max="92" width="10.7109375" bestFit="1" customWidth="1"/>
    <col min="93" max="93" width="8.85546875" bestFit="1" customWidth="1"/>
    <col min="94" max="94" width="9.28515625" bestFit="1" customWidth="1"/>
    <col min="95" max="95" width="7.140625" bestFit="1" customWidth="1"/>
    <col min="96" max="96" width="11.140625" bestFit="1" customWidth="1"/>
    <col min="97" max="97" width="7.140625" bestFit="1" customWidth="1"/>
    <col min="99" max="99" width="6.85546875" bestFit="1" customWidth="1"/>
    <col min="100" max="100" width="11" bestFit="1" customWidth="1"/>
    <col min="101" max="101" width="10" bestFit="1" customWidth="1"/>
    <col min="102" max="102" width="7.28515625" bestFit="1" customWidth="1"/>
    <col min="103" max="103" width="13.28515625" bestFit="1" customWidth="1"/>
    <col min="104" max="104" width="12" bestFit="1" customWidth="1"/>
    <col min="105" max="105" width="12.140625" bestFit="1" customWidth="1"/>
    <col min="106" max="106" width="9.85546875" bestFit="1" customWidth="1"/>
    <col min="107" max="107" width="24.85546875" bestFit="1" customWidth="1"/>
    <col min="108" max="108" width="15.140625" bestFit="1" customWidth="1"/>
    <col min="109" max="109" width="17.7109375" bestFit="1" customWidth="1"/>
    <col min="110" max="110" width="6.7109375" bestFit="1" customWidth="1"/>
    <col min="111" max="111" width="5.5703125" bestFit="1" customWidth="1"/>
    <col min="112" max="112" width="11" bestFit="1" customWidth="1"/>
    <col min="113" max="113" width="12.140625" bestFit="1" customWidth="1"/>
    <col min="114" max="114" width="5.7109375" bestFit="1" customWidth="1"/>
    <col min="115" max="115" width="4.5703125" bestFit="1" customWidth="1"/>
    <col min="116" max="116" width="7.5703125" bestFit="1" customWidth="1"/>
    <col min="117" max="117" width="8.140625" bestFit="1" customWidth="1"/>
    <col min="118" max="118" width="16.85546875" bestFit="1" customWidth="1"/>
    <col min="119" max="119" width="18.85546875" bestFit="1" customWidth="1"/>
    <col min="120" max="120" width="10" bestFit="1" customWidth="1"/>
    <col min="121" max="121" width="9.7109375" bestFit="1" customWidth="1"/>
    <col min="122" max="122" width="6.5703125" bestFit="1" customWidth="1"/>
    <col min="123" max="123" width="15.85546875" bestFit="1" customWidth="1"/>
    <col min="124" max="124" width="12.140625" bestFit="1" customWidth="1"/>
    <col min="125" max="125" width="8.5703125" bestFit="1" customWidth="1"/>
    <col min="126" max="126" width="10.7109375" bestFit="1" customWidth="1"/>
    <col min="127" max="127" width="8.85546875" bestFit="1" customWidth="1"/>
    <col min="128" max="128" width="9.28515625" bestFit="1" customWidth="1"/>
    <col min="129" max="129" width="7.140625" bestFit="1" customWidth="1"/>
    <col min="130" max="130" width="11.140625" bestFit="1" customWidth="1"/>
    <col min="131" max="131" width="7.140625" bestFit="1" customWidth="1"/>
    <col min="133" max="133" width="6.85546875" bestFit="1" customWidth="1"/>
    <col min="134" max="134" width="11" bestFit="1" customWidth="1"/>
    <col min="135" max="135" width="10" bestFit="1" customWidth="1"/>
    <col min="136" max="136" width="7.28515625" bestFit="1" customWidth="1"/>
    <col min="137" max="137" width="13.28515625" bestFit="1" customWidth="1"/>
    <col min="138" max="138" width="12" bestFit="1" customWidth="1"/>
    <col min="139" max="139" width="12.140625" bestFit="1" customWidth="1"/>
    <col min="140" max="140" width="9.85546875" bestFit="1" customWidth="1"/>
    <col min="141" max="141" width="11.28515625" bestFit="1" customWidth="1"/>
  </cols>
  <sheetData>
    <row r="1" spans="1:5" ht="15" customHeight="1" x14ac:dyDescent="0.25">
      <c r="A1" s="18" t="s">
        <v>88</v>
      </c>
      <c r="B1" s="19"/>
      <c r="C1" s="19"/>
      <c r="D1" s="19"/>
    </row>
    <row r="2" spans="1:5" x14ac:dyDescent="0.25">
      <c r="A2" s="19"/>
      <c r="B2" s="19"/>
      <c r="C2" s="19"/>
      <c r="D2" s="19"/>
    </row>
    <row r="5" spans="1:5" x14ac:dyDescent="0.25">
      <c r="D5" s="2" t="s">
        <v>72</v>
      </c>
      <c r="E5" t="s">
        <v>74</v>
      </c>
    </row>
    <row r="6" spans="1:5" x14ac:dyDescent="0.25">
      <c r="D6" s="3" t="s">
        <v>43</v>
      </c>
      <c r="E6">
        <v>86.5</v>
      </c>
    </row>
    <row r="7" spans="1:5" x14ac:dyDescent="0.25">
      <c r="D7" s="3" t="s">
        <v>44</v>
      </c>
      <c r="E7">
        <v>83</v>
      </c>
    </row>
    <row r="8" spans="1:5" x14ac:dyDescent="0.25">
      <c r="D8" s="3" t="s">
        <v>50</v>
      </c>
      <c r="E8">
        <v>76.75</v>
      </c>
    </row>
    <row r="9" spans="1:5" x14ac:dyDescent="0.25">
      <c r="D9" s="3" t="s">
        <v>41</v>
      </c>
      <c r="E9">
        <v>74.25</v>
      </c>
    </row>
    <row r="10" spans="1:5" x14ac:dyDescent="0.25">
      <c r="D10" s="3" t="s">
        <v>63</v>
      </c>
      <c r="E10">
        <v>74.25</v>
      </c>
    </row>
    <row r="11" spans="1:5" x14ac:dyDescent="0.25">
      <c r="D11" s="3" t="s">
        <v>53</v>
      </c>
      <c r="E11">
        <v>74</v>
      </c>
    </row>
    <row r="12" spans="1:5" x14ac:dyDescent="0.25">
      <c r="D12" s="3" t="s">
        <v>51</v>
      </c>
      <c r="E12">
        <v>73.75</v>
      </c>
    </row>
    <row r="13" spans="1:5" x14ac:dyDescent="0.25">
      <c r="D13" s="3" t="s">
        <v>62</v>
      </c>
      <c r="E13">
        <v>69.75</v>
      </c>
    </row>
    <row r="41" spans="1:8" x14ac:dyDescent="0.25">
      <c r="A41" s="18" t="s">
        <v>89</v>
      </c>
      <c r="B41" s="19"/>
      <c r="C41" s="19"/>
      <c r="D41" s="19"/>
    </row>
    <row r="42" spans="1:8" x14ac:dyDescent="0.25">
      <c r="A42" s="19"/>
      <c r="B42" s="19"/>
      <c r="C42" s="19"/>
      <c r="D42" s="19"/>
    </row>
    <row r="46" spans="1:8" x14ac:dyDescent="0.25">
      <c r="D46" s="2" t="s">
        <v>75</v>
      </c>
      <c r="E46" s="2" t="s">
        <v>70</v>
      </c>
    </row>
    <row r="47" spans="1:8" x14ac:dyDescent="0.25">
      <c r="D47" s="2" t="s">
        <v>72</v>
      </c>
      <c r="E47" t="s">
        <v>22</v>
      </c>
      <c r="F47" t="s">
        <v>31</v>
      </c>
      <c r="G47" t="s">
        <v>34</v>
      </c>
      <c r="H47" t="s">
        <v>39</v>
      </c>
    </row>
    <row r="48" spans="1:8" x14ac:dyDescent="0.25">
      <c r="D48" s="3" t="s">
        <v>23</v>
      </c>
      <c r="E48">
        <v>92</v>
      </c>
      <c r="F48">
        <v>23</v>
      </c>
      <c r="G48">
        <v>26</v>
      </c>
      <c r="H48">
        <v>57</v>
      </c>
    </row>
    <row r="49" spans="4:8" x14ac:dyDescent="0.25">
      <c r="D49" s="3" t="s">
        <v>27</v>
      </c>
      <c r="E49">
        <v>9540</v>
      </c>
      <c r="F49">
        <v>29006</v>
      </c>
      <c r="G49">
        <v>31506</v>
      </c>
      <c r="H49">
        <v>40497</v>
      </c>
    </row>
    <row r="50" spans="4:8" x14ac:dyDescent="0.25">
      <c r="D50" s="3" t="s">
        <v>32</v>
      </c>
      <c r="E50">
        <v>2</v>
      </c>
      <c r="F50">
        <v>2</v>
      </c>
      <c r="G50">
        <v>21</v>
      </c>
      <c r="H50">
        <v>66</v>
      </c>
    </row>
    <row r="51" spans="4:8" x14ac:dyDescent="0.25">
      <c r="D51" s="3" t="s">
        <v>35</v>
      </c>
      <c r="E51">
        <v>15633</v>
      </c>
      <c r="F51">
        <v>40720</v>
      </c>
      <c r="G51">
        <v>60798</v>
      </c>
      <c r="H51">
        <v>43728</v>
      </c>
    </row>
    <row r="52" spans="4:8" x14ac:dyDescent="0.25">
      <c r="D52" s="3" t="s">
        <v>40</v>
      </c>
      <c r="E52">
        <v>23082</v>
      </c>
      <c r="F52">
        <v>55752</v>
      </c>
      <c r="G52">
        <v>88186</v>
      </c>
      <c r="H52">
        <v>56526</v>
      </c>
    </row>
    <row r="53" spans="4:8" x14ac:dyDescent="0.25">
      <c r="D53" s="3" t="s">
        <v>41</v>
      </c>
      <c r="E53">
        <v>734</v>
      </c>
      <c r="F53">
        <v>2719</v>
      </c>
      <c r="G53">
        <v>6333</v>
      </c>
      <c r="H53">
        <v>2454</v>
      </c>
    </row>
    <row r="54" spans="4:8" x14ac:dyDescent="0.25">
      <c r="D54" s="3" t="s">
        <v>42</v>
      </c>
      <c r="E54">
        <v>4214</v>
      </c>
      <c r="F54">
        <v>22363</v>
      </c>
      <c r="G54">
        <v>37638</v>
      </c>
      <c r="H54">
        <v>23267</v>
      </c>
    </row>
    <row r="55" spans="4:8" x14ac:dyDescent="0.25">
      <c r="D55" s="3" t="s">
        <v>43</v>
      </c>
      <c r="E55">
        <v>25815</v>
      </c>
      <c r="F55">
        <v>62265</v>
      </c>
      <c r="G55">
        <v>73487</v>
      </c>
      <c r="H55">
        <v>38965</v>
      </c>
    </row>
    <row r="56" spans="4:8" x14ac:dyDescent="0.25">
      <c r="D56" s="3" t="s">
        <v>44</v>
      </c>
      <c r="E56">
        <v>1095</v>
      </c>
      <c r="F56">
        <v>5686</v>
      </c>
      <c r="G56">
        <v>9440</v>
      </c>
      <c r="H56">
        <v>4960</v>
      </c>
    </row>
    <row r="57" spans="4:8" x14ac:dyDescent="0.25">
      <c r="D57" s="3" t="s">
        <v>45</v>
      </c>
      <c r="E57">
        <v>9775</v>
      </c>
      <c r="F57">
        <v>68997</v>
      </c>
      <c r="G57">
        <v>88617</v>
      </c>
      <c r="H57">
        <v>45643</v>
      </c>
    </row>
    <row r="58" spans="4:8" x14ac:dyDescent="0.25">
      <c r="D58" s="3" t="s">
        <v>46</v>
      </c>
      <c r="E58">
        <v>8661</v>
      </c>
      <c r="F58">
        <v>25859</v>
      </c>
      <c r="G58">
        <v>30489</v>
      </c>
      <c r="H58">
        <v>14689</v>
      </c>
    </row>
    <row r="59" spans="4:8" x14ac:dyDescent="0.25">
      <c r="D59" s="3" t="s">
        <v>47</v>
      </c>
      <c r="E59">
        <v>327</v>
      </c>
      <c r="F59">
        <v>1008</v>
      </c>
      <c r="G59">
        <v>1126</v>
      </c>
      <c r="H59">
        <v>876</v>
      </c>
    </row>
    <row r="60" spans="4:8" x14ac:dyDescent="0.25">
      <c r="D60" s="3" t="s">
        <v>48</v>
      </c>
      <c r="E60">
        <v>1146</v>
      </c>
      <c r="F60">
        <v>4690</v>
      </c>
      <c r="G60">
        <v>9720</v>
      </c>
      <c r="H60">
        <v>6277</v>
      </c>
    </row>
    <row r="61" spans="4:8" x14ac:dyDescent="0.25">
      <c r="D61" s="3" t="s">
        <v>49</v>
      </c>
      <c r="E61">
        <v>3741</v>
      </c>
      <c r="F61">
        <v>13681</v>
      </c>
      <c r="G61">
        <v>21097</v>
      </c>
      <c r="H61">
        <v>16333</v>
      </c>
    </row>
    <row r="62" spans="4:8" x14ac:dyDescent="0.25">
      <c r="D62" s="3" t="s">
        <v>50</v>
      </c>
      <c r="E62">
        <v>33314</v>
      </c>
      <c r="F62">
        <v>95934</v>
      </c>
      <c r="G62">
        <v>151272</v>
      </c>
      <c r="H62">
        <v>114655</v>
      </c>
    </row>
    <row r="63" spans="4:8" x14ac:dyDescent="0.25">
      <c r="D63" s="3" t="s">
        <v>51</v>
      </c>
      <c r="E63">
        <v>8801</v>
      </c>
      <c r="F63">
        <v>39671</v>
      </c>
      <c r="G63">
        <v>74714</v>
      </c>
      <c r="H63">
        <v>53714</v>
      </c>
    </row>
    <row r="64" spans="4:8" x14ac:dyDescent="0.25">
      <c r="D64" s="3" t="s">
        <v>52</v>
      </c>
      <c r="E64">
        <v>10427</v>
      </c>
      <c r="F64">
        <v>36797</v>
      </c>
      <c r="G64">
        <v>67051</v>
      </c>
      <c r="H64">
        <v>73904</v>
      </c>
    </row>
    <row r="65" spans="4:8" x14ac:dyDescent="0.25">
      <c r="D65" s="3" t="s">
        <v>53</v>
      </c>
      <c r="E65">
        <v>29907</v>
      </c>
      <c r="F65">
        <v>136036</v>
      </c>
      <c r="G65">
        <v>193935</v>
      </c>
      <c r="H65">
        <v>141643</v>
      </c>
    </row>
    <row r="66" spans="4:8" x14ac:dyDescent="0.25">
      <c r="D66" s="3" t="s">
        <v>54</v>
      </c>
      <c r="E66">
        <v>114</v>
      </c>
      <c r="F66">
        <v>341</v>
      </c>
      <c r="G66">
        <v>399</v>
      </c>
      <c r="H66">
        <v>934</v>
      </c>
    </row>
    <row r="67" spans="4:8" x14ac:dyDescent="0.25">
      <c r="D67" s="3" t="s">
        <v>55</v>
      </c>
      <c r="E67">
        <v>5</v>
      </c>
      <c r="F67">
        <v>42</v>
      </c>
      <c r="G67">
        <v>113</v>
      </c>
      <c r="H67">
        <v>401</v>
      </c>
    </row>
    <row r="68" spans="4:8" x14ac:dyDescent="0.25">
      <c r="D68" s="3" t="s">
        <v>56</v>
      </c>
      <c r="E68">
        <v>0</v>
      </c>
      <c r="F68">
        <v>36</v>
      </c>
      <c r="G68">
        <v>166</v>
      </c>
      <c r="H68">
        <v>516</v>
      </c>
    </row>
    <row r="69" spans="4:8" x14ac:dyDescent="0.25">
      <c r="D69" s="3" t="s">
        <v>57</v>
      </c>
      <c r="E69">
        <v>2</v>
      </c>
      <c r="F69">
        <v>3</v>
      </c>
      <c r="G69">
        <v>6</v>
      </c>
      <c r="H69">
        <v>15</v>
      </c>
    </row>
    <row r="70" spans="4:8" x14ac:dyDescent="0.25">
      <c r="D70" s="3" t="s">
        <v>58</v>
      </c>
      <c r="E70">
        <v>5627</v>
      </c>
      <c r="F70">
        <v>28444</v>
      </c>
      <c r="G70">
        <v>44552</v>
      </c>
      <c r="H70">
        <v>56196</v>
      </c>
    </row>
    <row r="71" spans="4:8" x14ac:dyDescent="0.25">
      <c r="D71" s="3" t="s">
        <v>59</v>
      </c>
      <c r="E71">
        <v>405</v>
      </c>
      <c r="F71">
        <v>1481</v>
      </c>
      <c r="G71">
        <v>2637</v>
      </c>
      <c r="H71">
        <v>3177</v>
      </c>
    </row>
    <row r="72" spans="4:8" x14ac:dyDescent="0.25">
      <c r="D72" s="3" t="s">
        <v>60</v>
      </c>
      <c r="E72">
        <v>4643</v>
      </c>
      <c r="F72">
        <v>14054</v>
      </c>
      <c r="G72">
        <v>25741</v>
      </c>
      <c r="H72">
        <v>22328</v>
      </c>
    </row>
    <row r="73" spans="4:8" x14ac:dyDescent="0.25">
      <c r="D73" s="3" t="s">
        <v>61</v>
      </c>
      <c r="E73">
        <v>23462</v>
      </c>
      <c r="F73">
        <v>78240</v>
      </c>
      <c r="G73">
        <v>93818</v>
      </c>
      <c r="H73">
        <v>62781</v>
      </c>
    </row>
    <row r="74" spans="4:8" x14ac:dyDescent="0.25">
      <c r="D74" s="3" t="s">
        <v>62</v>
      </c>
      <c r="E74">
        <v>0</v>
      </c>
      <c r="F74">
        <v>0</v>
      </c>
      <c r="G74">
        <v>0</v>
      </c>
      <c r="H74">
        <v>11</v>
      </c>
    </row>
    <row r="75" spans="4:8" x14ac:dyDescent="0.25">
      <c r="D75" s="3" t="s">
        <v>63</v>
      </c>
      <c r="E75">
        <v>30030</v>
      </c>
      <c r="F75">
        <v>66955</v>
      </c>
      <c r="G75">
        <v>90242</v>
      </c>
      <c r="H75">
        <v>107425</v>
      </c>
    </row>
    <row r="76" spans="4:8" x14ac:dyDescent="0.25">
      <c r="D76" s="3" t="s">
        <v>64</v>
      </c>
      <c r="E76">
        <v>0</v>
      </c>
      <c r="F76">
        <v>0</v>
      </c>
      <c r="G76">
        <v>0</v>
      </c>
      <c r="H76">
        <v>12289</v>
      </c>
    </row>
    <row r="77" spans="4:8" x14ac:dyDescent="0.25">
      <c r="D77" s="3" t="s">
        <v>65</v>
      </c>
      <c r="E77">
        <v>2435</v>
      </c>
      <c r="F77">
        <v>4178</v>
      </c>
      <c r="G77">
        <v>6312</v>
      </c>
      <c r="H77">
        <v>3699</v>
      </c>
    </row>
    <row r="78" spans="4:8" x14ac:dyDescent="0.25">
      <c r="D78" s="3" t="s">
        <v>66</v>
      </c>
      <c r="E78">
        <v>66702</v>
      </c>
      <c r="F78">
        <v>162857</v>
      </c>
      <c r="G78">
        <v>277300</v>
      </c>
      <c r="H78">
        <v>175569</v>
      </c>
    </row>
    <row r="79" spans="4:8" x14ac:dyDescent="0.25">
      <c r="D79" s="3" t="s">
        <v>67</v>
      </c>
      <c r="E79">
        <v>5324</v>
      </c>
      <c r="F79">
        <v>15561</v>
      </c>
      <c r="G79">
        <v>16794</v>
      </c>
      <c r="H79">
        <v>9494</v>
      </c>
    </row>
    <row r="80" spans="4:8" x14ac:dyDescent="0.25">
      <c r="D80" s="3" t="s">
        <v>68</v>
      </c>
      <c r="E80">
        <v>6408</v>
      </c>
      <c r="F80">
        <v>11142</v>
      </c>
      <c r="G80">
        <v>21455</v>
      </c>
      <c r="H80">
        <v>48486</v>
      </c>
    </row>
    <row r="84" spans="1:9" x14ac:dyDescent="0.25">
      <c r="A84" s="18" t="s">
        <v>90</v>
      </c>
      <c r="B84" s="19"/>
      <c r="C84" s="19"/>
      <c r="D84" s="19"/>
    </row>
    <row r="85" spans="1:9" x14ac:dyDescent="0.25">
      <c r="A85" s="19"/>
      <c r="B85" s="19"/>
      <c r="C85" s="19"/>
      <c r="D85" s="19"/>
    </row>
    <row r="89" spans="1:9" x14ac:dyDescent="0.25">
      <c r="D89" s="2" t="s">
        <v>77</v>
      </c>
      <c r="E89" s="2" t="s">
        <v>70</v>
      </c>
    </row>
    <row r="90" spans="1:9" x14ac:dyDescent="0.25">
      <c r="D90" s="2" t="s">
        <v>72</v>
      </c>
      <c r="E90" t="s">
        <v>22</v>
      </c>
      <c r="F90" t="s">
        <v>31</v>
      </c>
      <c r="G90" t="s">
        <v>34</v>
      </c>
      <c r="H90" t="s">
        <v>39</v>
      </c>
      <c r="I90" t="s">
        <v>71</v>
      </c>
    </row>
    <row r="91" spans="1:9" x14ac:dyDescent="0.25">
      <c r="D91" s="3" t="s">
        <v>24</v>
      </c>
      <c r="E91">
        <v>9</v>
      </c>
      <c r="F91">
        <v>13</v>
      </c>
      <c r="G91">
        <v>13</v>
      </c>
      <c r="H91">
        <v>18</v>
      </c>
      <c r="I91">
        <v>53</v>
      </c>
    </row>
    <row r="92" spans="1:9" x14ac:dyDescent="0.25">
      <c r="D92" s="3" t="s">
        <v>28</v>
      </c>
      <c r="E92">
        <v>4</v>
      </c>
      <c r="F92">
        <v>1</v>
      </c>
      <c r="G92">
        <v>4</v>
      </c>
      <c r="H92">
        <v>2</v>
      </c>
      <c r="I92">
        <v>11</v>
      </c>
    </row>
    <row r="93" spans="1:9" x14ac:dyDescent="0.25">
      <c r="D93" s="3" t="s">
        <v>36</v>
      </c>
      <c r="E93">
        <v>14</v>
      </c>
      <c r="F93">
        <v>14</v>
      </c>
      <c r="G93">
        <v>13</v>
      </c>
      <c r="H93">
        <v>13</v>
      </c>
      <c r="I93">
        <v>54</v>
      </c>
    </row>
    <row r="94" spans="1:9" x14ac:dyDescent="0.25">
      <c r="D94" s="3" t="s">
        <v>33</v>
      </c>
      <c r="E94">
        <v>6</v>
      </c>
      <c r="F94">
        <v>5</v>
      </c>
      <c r="G94">
        <v>3</v>
      </c>
      <c r="I94">
        <v>14</v>
      </c>
    </row>
    <row r="95" spans="1:9" x14ac:dyDescent="0.25">
      <c r="D95" s="3" t="s">
        <v>71</v>
      </c>
      <c r="E95">
        <v>33</v>
      </c>
      <c r="F95">
        <v>33</v>
      </c>
      <c r="G95">
        <v>33</v>
      </c>
      <c r="H95">
        <v>33</v>
      </c>
      <c r="I95">
        <v>132</v>
      </c>
    </row>
    <row r="103" spans="1:5" x14ac:dyDescent="0.25">
      <c r="A103" s="18" t="s">
        <v>91</v>
      </c>
      <c r="B103" s="19"/>
      <c r="C103" s="19"/>
      <c r="D103" s="19"/>
    </row>
    <row r="104" spans="1:5" x14ac:dyDescent="0.25">
      <c r="A104" s="19"/>
      <c r="B104" s="19"/>
      <c r="C104" s="19"/>
      <c r="D104" s="19"/>
    </row>
    <row r="108" spans="1:5" x14ac:dyDescent="0.25">
      <c r="D108" s="2" t="s">
        <v>72</v>
      </c>
      <c r="E108" t="s">
        <v>75</v>
      </c>
    </row>
    <row r="109" spans="1:5" x14ac:dyDescent="0.25">
      <c r="D109" s="3" t="s">
        <v>26</v>
      </c>
      <c r="E109">
        <v>722356</v>
      </c>
    </row>
    <row r="110" spans="1:5" x14ac:dyDescent="0.25">
      <c r="D110" s="3" t="s">
        <v>38</v>
      </c>
      <c r="E110">
        <v>1775448</v>
      </c>
    </row>
    <row r="111" spans="1:5" x14ac:dyDescent="0.25">
      <c r="D111" s="3" t="s">
        <v>30</v>
      </c>
      <c r="E111">
        <v>1564768</v>
      </c>
    </row>
    <row r="112" spans="1:5" x14ac:dyDescent="0.25">
      <c r="D112" s="3" t="s">
        <v>71</v>
      </c>
      <c r="E112">
        <v>4062572</v>
      </c>
    </row>
    <row r="116" spans="1:8" x14ac:dyDescent="0.25">
      <c r="A116" s="18" t="s">
        <v>92</v>
      </c>
      <c r="B116" s="19"/>
      <c r="C116" s="19"/>
      <c r="D116" s="19"/>
    </row>
    <row r="117" spans="1:8" x14ac:dyDescent="0.25">
      <c r="A117" s="19"/>
      <c r="B117" s="19"/>
      <c r="C117" s="19"/>
      <c r="D117" s="19"/>
    </row>
    <row r="119" spans="1:8" x14ac:dyDescent="0.25">
      <c r="D119" s="2" t="s">
        <v>76</v>
      </c>
      <c r="E119" s="2" t="s">
        <v>70</v>
      </c>
    </row>
    <row r="120" spans="1:8" x14ac:dyDescent="0.25">
      <c r="D120" s="2" t="s">
        <v>72</v>
      </c>
      <c r="E120" t="s">
        <v>22</v>
      </c>
      <c r="F120" t="s">
        <v>31</v>
      </c>
      <c r="G120" t="s">
        <v>34</v>
      </c>
      <c r="H120" t="s">
        <v>39</v>
      </c>
    </row>
    <row r="121" spans="1:8" x14ac:dyDescent="0.25">
      <c r="D121" s="3" t="s">
        <v>23</v>
      </c>
      <c r="E121">
        <v>1.36</v>
      </c>
      <c r="F121">
        <v>0</v>
      </c>
      <c r="G121">
        <v>0</v>
      </c>
      <c r="H121">
        <v>0</v>
      </c>
    </row>
    <row r="122" spans="1:8" x14ac:dyDescent="0.25">
      <c r="D122" s="3" t="s">
        <v>27</v>
      </c>
      <c r="E122">
        <v>3.18</v>
      </c>
      <c r="F122">
        <v>0.81</v>
      </c>
      <c r="G122">
        <v>0.65</v>
      </c>
      <c r="H122">
        <v>0.9</v>
      </c>
    </row>
    <row r="123" spans="1:8" x14ac:dyDescent="0.25">
      <c r="D123" s="3" t="s">
        <v>32</v>
      </c>
      <c r="F123">
        <v>0</v>
      </c>
      <c r="G123">
        <v>0</v>
      </c>
      <c r="H123">
        <v>0.03</v>
      </c>
    </row>
    <row r="124" spans="1:8" x14ac:dyDescent="0.25">
      <c r="D124" s="3" t="s">
        <v>35</v>
      </c>
      <c r="E124">
        <v>100</v>
      </c>
      <c r="F124">
        <v>100</v>
      </c>
      <c r="G124">
        <v>100</v>
      </c>
      <c r="H124">
        <v>100</v>
      </c>
    </row>
    <row r="125" spans="1:8" x14ac:dyDescent="0.25">
      <c r="D125" s="3" t="s">
        <v>40</v>
      </c>
      <c r="E125">
        <v>100</v>
      </c>
      <c r="F125">
        <v>100</v>
      </c>
      <c r="G125">
        <v>100</v>
      </c>
      <c r="H125">
        <v>62.31</v>
      </c>
    </row>
    <row r="126" spans="1:8" x14ac:dyDescent="0.25">
      <c r="D126" s="3" t="s">
        <v>41</v>
      </c>
      <c r="E126">
        <v>3.48</v>
      </c>
      <c r="F126">
        <v>5.7</v>
      </c>
      <c r="G126">
        <v>3.35</v>
      </c>
      <c r="H126">
        <v>0.64</v>
      </c>
    </row>
    <row r="127" spans="1:8" x14ac:dyDescent="0.25">
      <c r="D127" s="3" t="s">
        <v>42</v>
      </c>
      <c r="E127">
        <v>21.63</v>
      </c>
      <c r="F127">
        <v>15.39</v>
      </c>
      <c r="G127">
        <v>9.69</v>
      </c>
      <c r="H127">
        <v>5.18</v>
      </c>
    </row>
    <row r="128" spans="1:8" x14ac:dyDescent="0.25">
      <c r="D128" s="3" t="s">
        <v>43</v>
      </c>
      <c r="E128">
        <v>8.2899999999999991</v>
      </c>
      <c r="F128">
        <v>3.83</v>
      </c>
      <c r="G128">
        <v>3.22</v>
      </c>
      <c r="H128">
        <v>0.64</v>
      </c>
    </row>
    <row r="129" spans="4:8" x14ac:dyDescent="0.25">
      <c r="D129" s="3" t="s">
        <v>44</v>
      </c>
      <c r="E129">
        <v>7.0000000000000007E-2</v>
      </c>
      <c r="F129">
        <v>0.06</v>
      </c>
      <c r="G129">
        <v>0.05</v>
      </c>
      <c r="H129">
        <v>0.03</v>
      </c>
    </row>
    <row r="130" spans="4:8" x14ac:dyDescent="0.25">
      <c r="D130" s="3" t="s">
        <v>45</v>
      </c>
      <c r="E130">
        <v>0.88</v>
      </c>
      <c r="F130">
        <v>0.49</v>
      </c>
      <c r="G130">
        <v>0.46</v>
      </c>
      <c r="H130">
        <v>0.3</v>
      </c>
    </row>
    <row r="131" spans="4:8" x14ac:dyDescent="0.25">
      <c r="D131" s="3" t="s">
        <v>46</v>
      </c>
      <c r="E131">
        <v>80.12</v>
      </c>
      <c r="F131">
        <v>16.03</v>
      </c>
      <c r="G131">
        <v>7.65</v>
      </c>
      <c r="H131">
        <v>9.36</v>
      </c>
    </row>
    <row r="132" spans="4:8" x14ac:dyDescent="0.25">
      <c r="D132" s="3" t="s">
        <v>47</v>
      </c>
      <c r="E132">
        <v>0.92</v>
      </c>
      <c r="F132">
        <v>0.42</v>
      </c>
      <c r="G132">
        <v>0.26</v>
      </c>
      <c r="H132">
        <v>0.1</v>
      </c>
    </row>
    <row r="133" spans="4:8" x14ac:dyDescent="0.25">
      <c r="D133" s="3" t="s">
        <v>48</v>
      </c>
      <c r="E133">
        <v>2.2000000000000002</v>
      </c>
      <c r="F133">
        <v>52.25</v>
      </c>
      <c r="G133">
        <v>53.14</v>
      </c>
      <c r="H133">
        <v>14.21</v>
      </c>
    </row>
    <row r="134" spans="4:8" x14ac:dyDescent="0.25">
      <c r="D134" s="3" t="s">
        <v>49</v>
      </c>
      <c r="E134">
        <v>42.06</v>
      </c>
      <c r="F134">
        <v>43.27</v>
      </c>
      <c r="G134">
        <v>29.26</v>
      </c>
      <c r="H134">
        <v>24.03</v>
      </c>
    </row>
    <row r="135" spans="4:8" x14ac:dyDescent="0.25">
      <c r="D135" s="3" t="s">
        <v>50</v>
      </c>
      <c r="E135">
        <v>1.44</v>
      </c>
      <c r="F135">
        <v>0.99</v>
      </c>
      <c r="G135">
        <v>0.47</v>
      </c>
      <c r="H135">
        <v>0.36</v>
      </c>
    </row>
    <row r="136" spans="4:8" x14ac:dyDescent="0.25">
      <c r="D136" s="3" t="s">
        <v>51</v>
      </c>
      <c r="E136">
        <v>0.78</v>
      </c>
      <c r="F136">
        <v>0.62</v>
      </c>
      <c r="G136">
        <v>0.45</v>
      </c>
      <c r="H136">
        <v>0.6</v>
      </c>
    </row>
    <row r="137" spans="4:8" x14ac:dyDescent="0.25">
      <c r="D137" s="3" t="s">
        <v>52</v>
      </c>
      <c r="E137">
        <v>26.73</v>
      </c>
      <c r="F137">
        <v>25.89</v>
      </c>
      <c r="G137">
        <v>20.059999999999999</v>
      </c>
      <c r="H137">
        <v>5.76</v>
      </c>
    </row>
    <row r="138" spans="4:8" x14ac:dyDescent="0.25">
      <c r="D138" s="3" t="s">
        <v>53</v>
      </c>
      <c r="E138">
        <v>0.52</v>
      </c>
      <c r="F138">
        <v>0.55000000000000004</v>
      </c>
      <c r="G138">
        <v>0.84</v>
      </c>
      <c r="H138">
        <v>0.3</v>
      </c>
    </row>
    <row r="139" spans="4:8" x14ac:dyDescent="0.25">
      <c r="D139" s="3" t="s">
        <v>54</v>
      </c>
      <c r="F139">
        <v>100</v>
      </c>
      <c r="G139">
        <v>9.33</v>
      </c>
      <c r="H139">
        <v>8.2100000000000009</v>
      </c>
    </row>
    <row r="140" spans="4:8" x14ac:dyDescent="0.25">
      <c r="D140" s="3" t="s">
        <v>55</v>
      </c>
      <c r="E140">
        <v>0.67</v>
      </c>
      <c r="F140">
        <v>0.82</v>
      </c>
      <c r="G140">
        <v>0.95</v>
      </c>
      <c r="H140">
        <v>5.04</v>
      </c>
    </row>
    <row r="141" spans="4:8" x14ac:dyDescent="0.25">
      <c r="D141" s="3" t="s">
        <v>56</v>
      </c>
      <c r="H141">
        <v>0</v>
      </c>
    </row>
    <row r="142" spans="4:8" x14ac:dyDescent="0.25">
      <c r="D142" s="3" t="s">
        <v>57</v>
      </c>
      <c r="G142">
        <v>0</v>
      </c>
      <c r="H142">
        <v>0</v>
      </c>
    </row>
    <row r="143" spans="4:8" x14ac:dyDescent="0.25">
      <c r="D143" s="3" t="s">
        <v>58</v>
      </c>
      <c r="E143">
        <v>10.38</v>
      </c>
      <c r="F143">
        <v>5.14</v>
      </c>
      <c r="G143">
        <v>3.57</v>
      </c>
      <c r="H143">
        <v>1.1299999999999999</v>
      </c>
    </row>
    <row r="144" spans="4:8" x14ac:dyDescent="0.25">
      <c r="D144" s="3" t="s">
        <v>59</v>
      </c>
      <c r="E144">
        <v>0.44</v>
      </c>
      <c r="F144">
        <v>0.56999999999999995</v>
      </c>
      <c r="G144">
        <v>1.02</v>
      </c>
      <c r="H144">
        <v>2.44</v>
      </c>
    </row>
    <row r="145" spans="1:26" x14ac:dyDescent="0.25">
      <c r="D145" s="3" t="s">
        <v>60</v>
      </c>
      <c r="E145">
        <v>40.450000000000003</v>
      </c>
      <c r="F145">
        <v>100</v>
      </c>
      <c r="G145">
        <v>20.66</v>
      </c>
      <c r="H145">
        <v>2.4500000000000002</v>
      </c>
    </row>
    <row r="146" spans="1:26" x14ac:dyDescent="0.25">
      <c r="D146" s="3" t="s">
        <v>61</v>
      </c>
      <c r="E146">
        <v>16.13</v>
      </c>
      <c r="F146">
        <v>15.42</v>
      </c>
      <c r="G146">
        <v>6.62</v>
      </c>
      <c r="H146">
        <v>1.31</v>
      </c>
    </row>
    <row r="147" spans="1:26" x14ac:dyDescent="0.25">
      <c r="D147" s="3" t="s">
        <v>62</v>
      </c>
      <c r="H147">
        <v>0</v>
      </c>
    </row>
    <row r="148" spans="1:26" x14ac:dyDescent="0.25">
      <c r="D148" s="3" t="s">
        <v>63</v>
      </c>
      <c r="E148">
        <v>4.49</v>
      </c>
      <c r="F148">
        <v>1.1000000000000001</v>
      </c>
      <c r="G148">
        <v>0.89</v>
      </c>
      <c r="H148">
        <v>0.49</v>
      </c>
    </row>
    <row r="149" spans="1:26" x14ac:dyDescent="0.25">
      <c r="D149" s="3" t="s">
        <v>64</v>
      </c>
      <c r="H149">
        <v>0</v>
      </c>
    </row>
    <row r="150" spans="1:26" x14ac:dyDescent="0.25">
      <c r="D150" s="3" t="s">
        <v>65</v>
      </c>
      <c r="E150">
        <v>100</v>
      </c>
      <c r="G150">
        <v>100</v>
      </c>
      <c r="H150">
        <v>100</v>
      </c>
    </row>
    <row r="151" spans="1:26" x14ac:dyDescent="0.25">
      <c r="D151" s="3" t="s">
        <v>66</v>
      </c>
      <c r="E151">
        <v>100</v>
      </c>
      <c r="F151">
        <v>100</v>
      </c>
      <c r="G151">
        <v>50.78</v>
      </c>
      <c r="H151">
        <v>16.18</v>
      </c>
      <c r="W151" s="16"/>
      <c r="X151" s="17"/>
      <c r="Y151" s="17"/>
      <c r="Z151" s="17"/>
    </row>
    <row r="152" spans="1:26" x14ac:dyDescent="0.25">
      <c r="D152" s="3" t="s">
        <v>67</v>
      </c>
      <c r="E152">
        <v>32.630000000000003</v>
      </c>
      <c r="F152">
        <v>24.56</v>
      </c>
      <c r="G152">
        <v>21.76</v>
      </c>
      <c r="H152">
        <v>5.14</v>
      </c>
      <c r="W152" s="17"/>
      <c r="X152" s="17"/>
      <c r="Y152" s="17"/>
      <c r="Z152" s="17"/>
    </row>
    <row r="153" spans="1:26" x14ac:dyDescent="0.25">
      <c r="D153" s="3" t="s">
        <v>68</v>
      </c>
      <c r="E153">
        <v>15.44</v>
      </c>
      <c r="F153">
        <v>1.85</v>
      </c>
      <c r="G153">
        <v>2.79</v>
      </c>
      <c r="H153">
        <v>22.26</v>
      </c>
    </row>
    <row r="156" spans="1:26" x14ac:dyDescent="0.25">
      <c r="A156" s="18" t="s">
        <v>93</v>
      </c>
      <c r="B156" s="19"/>
      <c r="C156" s="19"/>
      <c r="D156" s="19"/>
    </row>
    <row r="157" spans="1:26" x14ac:dyDescent="0.25">
      <c r="A157" s="19"/>
      <c r="B157" s="19"/>
      <c r="C157" s="19"/>
      <c r="D157" s="19"/>
    </row>
    <row r="160" spans="1:26" x14ac:dyDescent="0.25">
      <c r="D160" s="2" t="s">
        <v>1</v>
      </c>
      <c r="E160" t="s">
        <v>73</v>
      </c>
    </row>
    <row r="162" spans="1:26" x14ac:dyDescent="0.25">
      <c r="D162" s="2" t="s">
        <v>72</v>
      </c>
      <c r="E162" t="s">
        <v>75</v>
      </c>
    </row>
    <row r="163" spans="1:26" x14ac:dyDescent="0.25">
      <c r="D163" s="3" t="s">
        <v>25</v>
      </c>
      <c r="E163">
        <v>1939327</v>
      </c>
    </row>
    <row r="164" spans="1:26" x14ac:dyDescent="0.25">
      <c r="D164" s="3" t="s">
        <v>37</v>
      </c>
      <c r="E164">
        <v>1015231</v>
      </c>
    </row>
    <row r="165" spans="1:26" ht="15" customHeight="1" x14ac:dyDescent="0.5">
      <c r="D165" s="3" t="s">
        <v>29</v>
      </c>
      <c r="E165">
        <v>1108014</v>
      </c>
      <c r="W165" s="9"/>
      <c r="X165" s="10"/>
      <c r="Y165" s="10"/>
      <c r="Z165" s="10"/>
    </row>
    <row r="166" spans="1:26" x14ac:dyDescent="0.25">
      <c r="D166" s="3" t="s">
        <v>71</v>
      </c>
      <c r="E166">
        <v>4062572</v>
      </c>
      <c r="W166" s="10"/>
      <c r="X166" s="10"/>
      <c r="Y166" s="10"/>
      <c r="Z166" s="10"/>
    </row>
    <row r="170" spans="1:26" x14ac:dyDescent="0.25">
      <c r="A170" s="18" t="s">
        <v>94</v>
      </c>
      <c r="B170" s="19"/>
      <c r="C170" s="19"/>
      <c r="D170" s="19"/>
    </row>
    <row r="171" spans="1:26" x14ac:dyDescent="0.25">
      <c r="A171" s="19"/>
      <c r="B171" s="19"/>
      <c r="C171" s="19"/>
      <c r="D171" s="19"/>
    </row>
    <row r="176" spans="1:26" x14ac:dyDescent="0.25">
      <c r="D176" s="2" t="s">
        <v>78</v>
      </c>
      <c r="E176" s="2" t="s">
        <v>70</v>
      </c>
    </row>
    <row r="177" spans="4:9" x14ac:dyDescent="0.25">
      <c r="D177" s="2" t="s">
        <v>72</v>
      </c>
      <c r="E177" t="s">
        <v>22</v>
      </c>
      <c r="F177" t="s">
        <v>31</v>
      </c>
      <c r="G177" t="s">
        <v>34</v>
      </c>
      <c r="H177" t="s">
        <v>39</v>
      </c>
      <c r="I177" t="s">
        <v>71</v>
      </c>
    </row>
    <row r="178" spans="4:9" x14ac:dyDescent="0.25">
      <c r="D178" s="3" t="s">
        <v>23</v>
      </c>
      <c r="E178">
        <v>23.91</v>
      </c>
      <c r="F178">
        <v>30.43</v>
      </c>
      <c r="G178">
        <v>53.85</v>
      </c>
      <c r="H178">
        <v>54.39</v>
      </c>
      <c r="I178">
        <v>37.369999999999997</v>
      </c>
    </row>
    <row r="179" spans="4:9" x14ac:dyDescent="0.25">
      <c r="D179" s="3" t="s">
        <v>27</v>
      </c>
      <c r="E179">
        <v>4.0599999999999996</v>
      </c>
      <c r="F179">
        <v>2.58</v>
      </c>
      <c r="G179">
        <v>5.15</v>
      </c>
      <c r="H179">
        <v>8.89</v>
      </c>
      <c r="I179">
        <v>5.75</v>
      </c>
    </row>
    <row r="180" spans="4:9" x14ac:dyDescent="0.25">
      <c r="D180" s="3" t="s">
        <v>32</v>
      </c>
      <c r="E180">
        <v>0</v>
      </c>
      <c r="F180">
        <v>50</v>
      </c>
      <c r="G180">
        <v>85.71</v>
      </c>
      <c r="H180">
        <v>46.97</v>
      </c>
      <c r="I180">
        <v>54.95</v>
      </c>
    </row>
    <row r="181" spans="4:9" x14ac:dyDescent="0.25">
      <c r="D181" s="3" t="s">
        <v>35</v>
      </c>
      <c r="E181">
        <v>0.04</v>
      </c>
      <c r="F181">
        <v>0.2</v>
      </c>
      <c r="G181">
        <v>0.44</v>
      </c>
      <c r="H181">
        <v>0.57999999999999996</v>
      </c>
      <c r="I181">
        <v>0.38</v>
      </c>
    </row>
    <row r="182" spans="4:9" x14ac:dyDescent="0.25">
      <c r="D182" s="3" t="s">
        <v>40</v>
      </c>
      <c r="E182">
        <v>0.26</v>
      </c>
      <c r="F182">
        <v>0.24</v>
      </c>
      <c r="G182">
        <v>0.67</v>
      </c>
      <c r="H182">
        <v>1.1499999999999999</v>
      </c>
      <c r="I182">
        <v>0.64</v>
      </c>
    </row>
    <row r="183" spans="4:9" x14ac:dyDescent="0.25">
      <c r="D183" s="3" t="s">
        <v>41</v>
      </c>
      <c r="E183">
        <v>15.12</v>
      </c>
      <c r="F183">
        <v>10</v>
      </c>
      <c r="G183">
        <v>15.1</v>
      </c>
      <c r="H183">
        <v>42.54</v>
      </c>
      <c r="I183">
        <v>19.47</v>
      </c>
    </row>
    <row r="184" spans="4:9" x14ac:dyDescent="0.25">
      <c r="D184" s="3" t="s">
        <v>42</v>
      </c>
      <c r="E184">
        <v>1.66</v>
      </c>
      <c r="F184">
        <v>1.63</v>
      </c>
      <c r="G184">
        <v>3.11</v>
      </c>
      <c r="H184">
        <v>4.9800000000000004</v>
      </c>
      <c r="I184">
        <v>3.16</v>
      </c>
    </row>
    <row r="185" spans="4:9" x14ac:dyDescent="0.25">
      <c r="D185" s="3" t="s">
        <v>43</v>
      </c>
      <c r="E185">
        <v>7.59</v>
      </c>
      <c r="F185">
        <v>9.06</v>
      </c>
      <c r="G185">
        <v>11.13</v>
      </c>
      <c r="H185">
        <v>27.01</v>
      </c>
      <c r="I185">
        <v>13.12</v>
      </c>
    </row>
    <row r="186" spans="4:9" x14ac:dyDescent="0.25">
      <c r="D186" s="3" t="s">
        <v>44</v>
      </c>
      <c r="E186">
        <v>17.260000000000002</v>
      </c>
      <c r="F186">
        <v>10.97</v>
      </c>
      <c r="G186">
        <v>10.19</v>
      </c>
      <c r="H186">
        <v>17.28</v>
      </c>
      <c r="I186">
        <v>12.43</v>
      </c>
    </row>
    <row r="187" spans="4:9" x14ac:dyDescent="0.25">
      <c r="D187" s="3" t="s">
        <v>45</v>
      </c>
      <c r="E187">
        <v>8.77</v>
      </c>
      <c r="F187">
        <v>4.07</v>
      </c>
      <c r="G187">
        <v>7.42</v>
      </c>
      <c r="H187">
        <v>18.64</v>
      </c>
      <c r="I187">
        <v>8.8000000000000007</v>
      </c>
    </row>
    <row r="188" spans="4:9" x14ac:dyDescent="0.25">
      <c r="D188" s="3" t="s">
        <v>46</v>
      </c>
      <c r="E188">
        <v>0.69</v>
      </c>
      <c r="F188">
        <v>3.21</v>
      </c>
      <c r="G188">
        <v>8.7100000000000009</v>
      </c>
      <c r="H188">
        <v>5.24</v>
      </c>
      <c r="I188">
        <v>5.42</v>
      </c>
    </row>
    <row r="189" spans="4:9" x14ac:dyDescent="0.25">
      <c r="D189" s="3" t="s">
        <v>47</v>
      </c>
      <c r="E189">
        <v>3.67</v>
      </c>
      <c r="F189">
        <v>4.2699999999999996</v>
      </c>
      <c r="G189">
        <v>13.5</v>
      </c>
      <c r="H189">
        <v>38.36</v>
      </c>
      <c r="I189">
        <v>16.27</v>
      </c>
    </row>
    <row r="190" spans="4:9" x14ac:dyDescent="0.25">
      <c r="D190" s="3" t="s">
        <v>48</v>
      </c>
      <c r="E190">
        <v>0.44</v>
      </c>
      <c r="F190">
        <v>1.02</v>
      </c>
      <c r="G190">
        <v>1.47</v>
      </c>
      <c r="H190">
        <v>4.84</v>
      </c>
      <c r="I190">
        <v>2.29</v>
      </c>
    </row>
    <row r="191" spans="4:9" x14ac:dyDescent="0.25">
      <c r="D191" s="3" t="s">
        <v>49</v>
      </c>
      <c r="E191">
        <v>1.28</v>
      </c>
      <c r="F191">
        <v>1.1499999999999999</v>
      </c>
      <c r="G191">
        <v>2.14</v>
      </c>
      <c r="H191">
        <v>2.5</v>
      </c>
      <c r="I191">
        <v>1.94</v>
      </c>
    </row>
    <row r="192" spans="4:9" x14ac:dyDescent="0.25">
      <c r="D192" s="3" t="s">
        <v>50</v>
      </c>
      <c r="E192">
        <v>4.46</v>
      </c>
      <c r="F192">
        <v>4.51</v>
      </c>
      <c r="G192">
        <v>7.71</v>
      </c>
      <c r="H192">
        <v>10.15</v>
      </c>
      <c r="I192">
        <v>7.37</v>
      </c>
    </row>
    <row r="193" spans="4:9" x14ac:dyDescent="0.25">
      <c r="D193" s="3" t="s">
        <v>51</v>
      </c>
      <c r="E193">
        <v>18.68</v>
      </c>
      <c r="F193">
        <v>9.6300000000000008</v>
      </c>
      <c r="G193">
        <v>12.03</v>
      </c>
      <c r="H193">
        <v>12.75</v>
      </c>
      <c r="I193">
        <v>12.04</v>
      </c>
    </row>
    <row r="194" spans="4:9" x14ac:dyDescent="0.25">
      <c r="D194" s="3" t="s">
        <v>52</v>
      </c>
      <c r="E194">
        <v>1.84</v>
      </c>
      <c r="F194">
        <v>1.45</v>
      </c>
      <c r="G194">
        <v>2.1800000000000002</v>
      </c>
      <c r="H194">
        <v>3.42</v>
      </c>
      <c r="I194">
        <v>2.5099999999999998</v>
      </c>
    </row>
    <row r="195" spans="4:9" x14ac:dyDescent="0.25">
      <c r="D195" s="3" t="s">
        <v>53</v>
      </c>
      <c r="E195">
        <v>12.51</v>
      </c>
      <c r="F195">
        <v>8.59</v>
      </c>
      <c r="G195">
        <v>7.09</v>
      </c>
      <c r="H195">
        <v>11.93</v>
      </c>
      <c r="I195">
        <v>9.19</v>
      </c>
    </row>
    <row r="196" spans="4:9" x14ac:dyDescent="0.25">
      <c r="D196" s="3" t="s">
        <v>54</v>
      </c>
      <c r="E196">
        <v>0</v>
      </c>
      <c r="F196">
        <v>0.28999999999999998</v>
      </c>
      <c r="G196">
        <v>7.52</v>
      </c>
      <c r="H196">
        <v>7.07</v>
      </c>
      <c r="I196">
        <v>5.43</v>
      </c>
    </row>
    <row r="197" spans="4:9" x14ac:dyDescent="0.25">
      <c r="D197" s="3" t="s">
        <v>55</v>
      </c>
      <c r="E197">
        <v>60</v>
      </c>
      <c r="F197">
        <v>26.19</v>
      </c>
      <c r="G197">
        <v>17.7</v>
      </c>
      <c r="H197">
        <v>13.72</v>
      </c>
      <c r="I197">
        <v>15.86</v>
      </c>
    </row>
    <row r="198" spans="4:9" x14ac:dyDescent="0.25">
      <c r="D198" s="3" t="s">
        <v>56</v>
      </c>
      <c r="E198">
        <v>0</v>
      </c>
      <c r="F198">
        <v>0</v>
      </c>
      <c r="G198">
        <v>0</v>
      </c>
      <c r="H198">
        <v>1.94</v>
      </c>
      <c r="I198">
        <v>1.39</v>
      </c>
    </row>
    <row r="199" spans="4:9" x14ac:dyDescent="0.25">
      <c r="D199" s="3" t="s">
        <v>57</v>
      </c>
      <c r="E199">
        <v>0</v>
      </c>
      <c r="F199">
        <v>0</v>
      </c>
      <c r="G199">
        <v>50</v>
      </c>
      <c r="H199">
        <v>53.33</v>
      </c>
      <c r="I199">
        <v>42.31</v>
      </c>
    </row>
    <row r="200" spans="4:9" x14ac:dyDescent="0.25">
      <c r="D200" s="3" t="s">
        <v>58</v>
      </c>
      <c r="E200">
        <v>1.07</v>
      </c>
      <c r="F200">
        <v>1.54</v>
      </c>
      <c r="G200">
        <v>3</v>
      </c>
      <c r="H200">
        <v>5.44</v>
      </c>
      <c r="I200">
        <v>3.63</v>
      </c>
    </row>
    <row r="201" spans="4:9" x14ac:dyDescent="0.25">
      <c r="D201" s="3" t="s">
        <v>59</v>
      </c>
      <c r="E201">
        <v>2.2200000000000002</v>
      </c>
      <c r="F201">
        <v>2.97</v>
      </c>
      <c r="G201">
        <v>3.41</v>
      </c>
      <c r="H201">
        <v>2.68</v>
      </c>
      <c r="I201">
        <v>2.96</v>
      </c>
    </row>
    <row r="202" spans="4:9" x14ac:dyDescent="0.25">
      <c r="D202" s="3" t="s">
        <v>60</v>
      </c>
      <c r="E202">
        <v>0.71</v>
      </c>
      <c r="F202">
        <v>0.3</v>
      </c>
      <c r="G202">
        <v>3.03</v>
      </c>
      <c r="H202">
        <v>11.34</v>
      </c>
      <c r="I202">
        <v>5.07</v>
      </c>
    </row>
    <row r="203" spans="4:9" x14ac:dyDescent="0.25">
      <c r="D203" s="3" t="s">
        <v>61</v>
      </c>
      <c r="E203">
        <v>2.36</v>
      </c>
      <c r="F203">
        <v>1.88</v>
      </c>
      <c r="G203">
        <v>4.79</v>
      </c>
      <c r="H203">
        <v>13.46</v>
      </c>
      <c r="I203">
        <v>5.79</v>
      </c>
    </row>
    <row r="204" spans="4:9" x14ac:dyDescent="0.25">
      <c r="D204" s="3" t="s">
        <v>62</v>
      </c>
      <c r="E204">
        <v>0</v>
      </c>
      <c r="F204">
        <v>0</v>
      </c>
      <c r="G204">
        <v>0</v>
      </c>
      <c r="H204">
        <v>45.45</v>
      </c>
      <c r="I204">
        <v>45.45</v>
      </c>
    </row>
    <row r="205" spans="4:9" x14ac:dyDescent="0.25">
      <c r="D205" s="3" t="s">
        <v>63</v>
      </c>
      <c r="E205">
        <v>3.16</v>
      </c>
      <c r="F205">
        <v>3.67</v>
      </c>
      <c r="G205">
        <v>6.67</v>
      </c>
      <c r="H205">
        <v>8.5299999999999994</v>
      </c>
      <c r="I205">
        <v>6.31</v>
      </c>
    </row>
    <row r="206" spans="4:9" x14ac:dyDescent="0.25">
      <c r="D206" s="3" t="s">
        <v>64</v>
      </c>
      <c r="E206">
        <v>0</v>
      </c>
      <c r="F206">
        <v>0</v>
      </c>
      <c r="G206">
        <v>0</v>
      </c>
      <c r="H206">
        <v>27.02</v>
      </c>
      <c r="I206">
        <v>27.02</v>
      </c>
    </row>
    <row r="207" spans="4:9" x14ac:dyDescent="0.25">
      <c r="D207" s="3" t="s">
        <v>65</v>
      </c>
      <c r="E207">
        <v>0.21</v>
      </c>
      <c r="F207">
        <v>0</v>
      </c>
      <c r="G207">
        <v>0.48</v>
      </c>
      <c r="H207">
        <v>0.38</v>
      </c>
      <c r="I207">
        <v>0.28999999999999998</v>
      </c>
    </row>
    <row r="208" spans="4:9" x14ac:dyDescent="0.25">
      <c r="D208" s="3" t="s">
        <v>66</v>
      </c>
      <c r="E208">
        <v>0.12</v>
      </c>
      <c r="F208">
        <v>0.13</v>
      </c>
      <c r="G208">
        <v>1.65</v>
      </c>
      <c r="H208">
        <v>3.75</v>
      </c>
      <c r="I208">
        <v>1.68</v>
      </c>
    </row>
    <row r="209" spans="4:32" x14ac:dyDescent="0.25">
      <c r="D209" s="3" t="s">
        <v>67</v>
      </c>
      <c r="E209">
        <v>2.29</v>
      </c>
      <c r="F209">
        <v>2.4700000000000002</v>
      </c>
      <c r="G209">
        <v>2.91</v>
      </c>
      <c r="H209">
        <v>8.66</v>
      </c>
      <c r="I209">
        <v>3.85</v>
      </c>
    </row>
    <row r="210" spans="4:32" x14ac:dyDescent="0.25">
      <c r="D210" s="3" t="s">
        <v>68</v>
      </c>
      <c r="E210">
        <v>5.21</v>
      </c>
      <c r="F210">
        <v>8.5500000000000007</v>
      </c>
      <c r="G210">
        <v>12.13</v>
      </c>
      <c r="H210">
        <v>3.6</v>
      </c>
      <c r="I210">
        <v>6.44</v>
      </c>
    </row>
    <row r="211" spans="4:32" x14ac:dyDescent="0.25">
      <c r="D211" s="3" t="s">
        <v>71</v>
      </c>
      <c r="E211">
        <v>3.92</v>
      </c>
      <c r="F211">
        <v>3.72</v>
      </c>
      <c r="G211">
        <v>5.25</v>
      </c>
      <c r="H211">
        <v>8.66</v>
      </c>
      <c r="I211">
        <v>5.75</v>
      </c>
    </row>
    <row r="215" spans="4:32" ht="15" customHeight="1" x14ac:dyDescent="0.25">
      <c r="AF215" s="8"/>
    </row>
    <row r="216" spans="4:32" ht="15" customHeight="1" x14ac:dyDescent="0.25">
      <c r="AF216" s="8"/>
    </row>
    <row r="217" spans="4:32" x14ac:dyDescent="0.25">
      <c r="AF217" s="8"/>
    </row>
    <row r="218" spans="4:32" x14ac:dyDescent="0.25">
      <c r="AF218" s="8"/>
    </row>
    <row r="219" spans="4:32" x14ac:dyDescent="0.25">
      <c r="AF219" s="8"/>
    </row>
    <row r="227" spans="26:26" x14ac:dyDescent="0.25">
      <c r="Z227" s="6"/>
    </row>
  </sheetData>
  <mergeCells count="8">
    <mergeCell ref="A1:D2"/>
    <mergeCell ref="A41:D42"/>
    <mergeCell ref="A84:D85"/>
    <mergeCell ref="W151:Z152"/>
    <mergeCell ref="A103:D104"/>
    <mergeCell ref="A156:D157"/>
    <mergeCell ref="A170:D171"/>
    <mergeCell ref="A116:D11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ACF5-2F13-4128-81DB-C272685909E7}">
  <dimension ref="A1:AD22"/>
  <sheetViews>
    <sheetView showGridLines="0" zoomScale="70" zoomScaleNormal="70" workbookViewId="0">
      <selection activeCell="H7" sqref="H7"/>
    </sheetView>
  </sheetViews>
  <sheetFormatPr defaultRowHeight="15" x14ac:dyDescent="0.25"/>
  <cols>
    <col min="1" max="6" width="9.140625" style="15"/>
    <col min="7" max="7" width="9.140625" style="15" customWidth="1"/>
    <col min="8" max="16384" width="9.140625" style="15"/>
  </cols>
  <sheetData>
    <row r="1" spans="1:30" ht="15" customHeight="1" x14ac:dyDescent="0.25">
      <c r="A1" s="23" t="s">
        <v>112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</row>
    <row r="2" spans="1:30" ht="15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</row>
    <row r="3" spans="1:30" ht="15" customHeight="1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</row>
    <row r="4" spans="1:30" ht="15" customHeight="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</row>
    <row r="17" s="15" customFormat="1" x14ac:dyDescent="0.25"/>
    <row r="18" s="15" customFormat="1" x14ac:dyDescent="0.25"/>
    <row r="19" s="15" customFormat="1" x14ac:dyDescent="0.25"/>
    <row r="20" s="15" customFormat="1" x14ac:dyDescent="0.25"/>
    <row r="21" s="15" customFormat="1" x14ac:dyDescent="0.25"/>
    <row r="22" s="15" customFormat="1" x14ac:dyDescent="0.25"/>
  </sheetData>
  <mergeCells count="1">
    <mergeCell ref="A1:AD4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89F4-7F3E-45E1-85F2-904EE58FFF54}">
  <dimension ref="A2:F19"/>
  <sheetViews>
    <sheetView zoomScale="85" zoomScaleNormal="85" workbookViewId="0">
      <selection activeCell="J6" sqref="J6"/>
    </sheetView>
  </sheetViews>
  <sheetFormatPr defaultRowHeight="15" x14ac:dyDescent="0.25"/>
  <cols>
    <col min="4" max="4" width="12.5703125" bestFit="1" customWidth="1"/>
    <col min="5" max="5" width="71.28515625" bestFit="1" customWidth="1"/>
    <col min="6" max="6" width="38.42578125" bestFit="1" customWidth="1"/>
  </cols>
  <sheetData>
    <row r="2" spans="1:6" ht="31.5" customHeight="1" x14ac:dyDescent="0.25">
      <c r="A2" s="24" t="s">
        <v>101</v>
      </c>
      <c r="B2" s="24"/>
      <c r="C2" s="24"/>
      <c r="D2" s="24"/>
      <c r="E2" s="24"/>
    </row>
    <row r="3" spans="1:6" ht="15" customHeight="1" x14ac:dyDescent="0.25">
      <c r="A3" s="24"/>
      <c r="B3" s="24"/>
      <c r="C3" s="24"/>
      <c r="D3" s="24"/>
      <c r="E3" s="24"/>
    </row>
    <row r="7" spans="1:6" ht="28.5" x14ac:dyDescent="0.45">
      <c r="D7" s="12" t="s">
        <v>100</v>
      </c>
      <c r="E7" s="12" t="s">
        <v>79</v>
      </c>
      <c r="F7" s="12" t="s">
        <v>87</v>
      </c>
    </row>
    <row r="8" spans="1:6" x14ac:dyDescent="0.25">
      <c r="D8">
        <v>1</v>
      </c>
      <c r="E8" t="s">
        <v>95</v>
      </c>
      <c r="F8" s="11">
        <f>CORREL(Master_query[3W EV Sales],Master_query[Per_Capita_Income])</f>
        <v>-0.21208443740857619</v>
      </c>
    </row>
    <row r="9" spans="1:6" x14ac:dyDescent="0.25">
      <c r="D9">
        <f>SUM(D8+1)</f>
        <v>2</v>
      </c>
      <c r="E9" t="s">
        <v>96</v>
      </c>
      <c r="F9" s="11">
        <f>CORREL(Master_query[4W EV Penetration],Master_query[Demand Not Met (%)])</f>
        <v>-8.9723812539631451E-2</v>
      </c>
    </row>
    <row r="10" spans="1:6" x14ac:dyDescent="0.25">
      <c r="D10">
        <f t="shared" ref="D10:D19" si="0">SUM(D9+1)</f>
        <v>3</v>
      </c>
      <c r="E10" t="s">
        <v>97</v>
      </c>
      <c r="F10" s="11">
        <f>CORREL(Master_query[EV_Readiness_Score],Master_query[4W EV Penetration])</f>
        <v>0.53807826510595436</v>
      </c>
    </row>
    <row r="11" spans="1:6" x14ac:dyDescent="0.25">
      <c r="D11">
        <f t="shared" si="0"/>
        <v>4</v>
      </c>
      <c r="E11" t="s">
        <v>98</v>
      </c>
      <c r="F11" s="11">
        <f>AVERAGEIFS(Master_query[4W EV Sales],Master_query[Income_Category],"High",Master_query[Year],"2024")</f>
        <v>5334.25</v>
      </c>
    </row>
    <row r="12" spans="1:6" x14ac:dyDescent="0.25">
      <c r="D12">
        <f t="shared" si="0"/>
        <v>5</v>
      </c>
      <c r="E12" t="s">
        <v>99</v>
      </c>
      <c r="F12" s="11">
        <f>AVERAGEIFS(Master_query[4W EV Sales],Master_query[Income_Category],"Low",Master_query[Year],"2024")</f>
        <v>1778.1</v>
      </c>
    </row>
    <row r="13" spans="1:6" x14ac:dyDescent="0.25">
      <c r="D13">
        <f t="shared" si="0"/>
        <v>6</v>
      </c>
      <c r="E13" t="s">
        <v>80</v>
      </c>
      <c r="F13" s="11">
        <f>AVERAGEIFS(Master_query[4W EV Sales], Master_query[Power_Status],"Stable",Master_query[Year],2024)</f>
        <v>3405.3157894736842</v>
      </c>
    </row>
    <row r="14" spans="1:6" x14ac:dyDescent="0.25">
      <c r="D14">
        <f t="shared" si="0"/>
        <v>7</v>
      </c>
      <c r="E14" t="s">
        <v>81</v>
      </c>
      <c r="F14" s="11">
        <f>AVERAGEIFS(Master_query[4W EV Sales],Master_query[Power_Status],"High Risk",Master_query[Year],"2024")</f>
        <v>3760.8</v>
      </c>
    </row>
    <row r="15" spans="1:6" x14ac:dyDescent="0.25">
      <c r="D15">
        <f t="shared" si="0"/>
        <v>8</v>
      </c>
      <c r="E15" t="s">
        <v>82</v>
      </c>
      <c r="F15" s="11">
        <f>COUNTIFS(Master_query[Buyer_Type], "Necessity",Master_query[Year],2024)</f>
        <v>13</v>
      </c>
    </row>
    <row r="16" spans="1:6" x14ac:dyDescent="0.25">
      <c r="D16">
        <f>SUM(D15+1)</f>
        <v>9</v>
      </c>
      <c r="E16" t="s">
        <v>83</v>
      </c>
      <c r="F16" s="11">
        <f>COUNTIFS(Master_query[Buyer_Type], "Luxury",Master_query[Year],2024)</f>
        <v>18</v>
      </c>
    </row>
    <row r="17" spans="4:6" x14ac:dyDescent="0.25">
      <c r="D17">
        <f t="shared" si="0"/>
        <v>10</v>
      </c>
      <c r="E17" t="s">
        <v>84</v>
      </c>
      <c r="F17" s="11">
        <f>SUMIFS(Master_query[3W EV Sales],Master_query[Year],2024,Master_query[Per_Capita_Income],"&lt;100000")</f>
        <v>150684</v>
      </c>
    </row>
    <row r="18" spans="4:6" x14ac:dyDescent="0.25">
      <c r="D18">
        <f t="shared" si="0"/>
        <v>11</v>
      </c>
      <c r="E18" t="s">
        <v>86</v>
      </c>
      <c r="F18" s="11" t="str">
        <f>_xlfn.XLOOKUP(MAX(Master_query[Per_Capita_Income]),Master_query[Per_Capita_Income],Master_query[State])</f>
        <v>Sikkim</v>
      </c>
    </row>
    <row r="19" spans="4:6" x14ac:dyDescent="0.25">
      <c r="D19">
        <f t="shared" si="0"/>
        <v>12</v>
      </c>
      <c r="E19" t="s">
        <v>85</v>
      </c>
      <c r="F19" s="11">
        <f>LARGE(Master_query[Per_Capita_Income],1)</f>
        <v>587743</v>
      </c>
    </row>
  </sheetData>
  <mergeCells count="1">
    <mergeCell ref="A2:E3"/>
  </mergeCells>
  <phoneticPr fontId="4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F09290-89BE-41BF-9A53-51A3826498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Raw_data</vt:lpstr>
      <vt:lpstr>Pivot_Tables</vt:lpstr>
      <vt:lpstr>Dashboards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SAHIB HUSSAIN</dc:creator>
  <cp:lastModifiedBy>Sahib  Hussain</cp:lastModifiedBy>
  <dcterms:created xsi:type="dcterms:W3CDTF">2015-06-05T18:17:20Z</dcterms:created>
  <dcterms:modified xsi:type="dcterms:W3CDTF">2026-06-29T16:43:26Z</dcterms:modified>
</cp:coreProperties>
</file>